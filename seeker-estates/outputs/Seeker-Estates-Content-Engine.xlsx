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 Calendar" sheetId="1" state="visible" r:id="rId3"/>
    <sheet name="Properties" sheetId="2" state="visible" r:id="rId4"/>
    <sheet name="Asset Requests" sheetId="3" state="visible" r:id="rId5"/>
    <sheet name="The System" sheetId="4" state="visible" r:id="rId6"/>
    <sheet name="Weekly Tracker" sheetId="5" state="visible" r:id="rId7"/>
    <sheet name="Event Map" sheetId="6" state="visible" r:id="rId8"/>
  </sheets>
  <definedNames>
    <definedName function="false" hidden="true" localSheetId="2" name="_xlnm._FilterDatabase" vbProcedure="false">'Asset Requests'!$A$4:$K$37</definedName>
    <definedName function="false" hidden="true" localSheetId="0" name="_xlnm._FilterDatabase" vbProcedure="false">'Content Calendar'!$A$4:$P$72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<sst xmlns="http://schemas.openxmlformats.org/spreadsheetml/2006/main" count="1756" uniqueCount="1126">
  <si>
    <t xml:space="preserve">Seeker Estates — 90-Day Content Calendar</t>
  </si>
  <si>
    <t xml:space="preserve">10 Sep – 12 Dec 2026 · 68 posts · 5 per week (Mon/Tue/Wed/Thu/Sat) · Fill the yellow columns as you go</t>
  </si>
  <si>
    <t xml:space="preserve">Date</t>
  </si>
  <si>
    <t xml:space="preserve">Day</t>
  </si>
  <si>
    <t xml:space="preserve">Wk</t>
  </si>
  <si>
    <t xml:space="preserve">Pillar</t>
  </si>
  <si>
    <t xml:space="preserve">Platform</t>
  </si>
  <si>
    <t xml:space="preserve">Format</t>
  </si>
  <si>
    <t xml:space="preserve">HOOK (first 2 seconds)</t>
  </si>
  <si>
    <t xml:space="preserve">Concept / what to film</t>
  </si>
  <si>
    <t xml:space="preserve">Why this post / direction</t>
  </si>
  <si>
    <t xml:space="preserve">CTA</t>
  </si>
  <si>
    <t xml:space="preserve">Assets needed</t>
  </si>
  <si>
    <t xml:space="preserve">Event tie</t>
  </si>
  <si>
    <t xml:space="preserve">Status</t>
  </si>
  <si>
    <t xml:space="preserve">Published?</t>
  </si>
  <si>
    <t xml:space="preserve">Reach</t>
  </si>
  <si>
    <t xml:space="preserve">Saves</t>
  </si>
  <si>
    <t xml:space="preserve">Thu</t>
  </si>
  <si>
    <t xml:space="preserve">W0</t>
  </si>
  <si>
    <t xml:space="preserve">HUMAN</t>
  </si>
  <si>
    <t xml:space="preserve">IG+FB</t>
  </si>
  <si>
    <t xml:space="preserve">Reel 25s</t>
  </si>
  <si>
    <t xml:space="preserve">Nineteen flats across London. This is what 7am looks like when you run them.</t>
  </si>
  <si>
    <t xml:space="preserve">Faceless launch. Fast cuts: keys, a turnover in progress, a tube platform, a made bed, the 21st-floor Canary Wharf view. Voiceover (Corentin, voice only) or on-screen text says the one sentence of what Seeker Estates is: Exceptional stays. Professionally managed.</t>
  </si>
  <si>
    <t xml:space="preserve">Introduce the brand in plain English. No corporate language. State the number (20), the city, and who you serve. Pin this post.</t>
  </si>
  <si>
    <t xml:space="preserve">Follow for London stays + what's actually on this week</t>
  </si>
  <si>
    <t xml:space="preserve">Flagship-flat footage (done), 1 street/tube clip, voiceover audio or text overlay</t>
  </si>
  <si>
    <t xml:space="preserve">Account launch</t>
  </si>
  <si>
    <t xml:space="preserve">Not started</t>
  </si>
  <si>
    <t xml:space="preserve">Fri</t>
  </si>
  <si>
    <t xml:space="preserve">LONDON</t>
  </si>
  <si>
    <t xml:space="preserve">IG+FB+TT</t>
  </si>
  <si>
    <t xml:space="preserve">Carousel 6</t>
  </si>
  <si>
    <t xml:space="preserve">The Bayeux Tapestry is in London for the first time in 950 years.</t>
  </si>
  <si>
    <t xml:space="preserve">Opened at the British Museum yesterday (10 Sep 2026) — the biggest UK cultural loan in a generation, running to 11 Jul 2027. Six slides: what it is, why it matters, how to book, nearest tube, what else is walkable, where to stay nearby.</t>
  </si>
  <si>
    <t xml:space="preserve">This is a genuine news peg on day two of the account. Lead with the fact, not with yourself. Mention your Bloomsbury/Zone 1 stock only on the final slide.</t>
  </si>
  <si>
    <t xml:space="preserve">Save this for when you book</t>
  </si>
  <si>
    <t xml:space="preserve">Stock/press images of the British Museum exterior, 1 clip of Great Russell St, map graphic</t>
  </si>
  <si>
    <t xml:space="preserve">Bayeux Tapestry opens</t>
  </si>
  <si>
    <t xml:space="preserve">Sat</t>
  </si>
  <si>
    <t xml:space="preserve">IG+TT</t>
  </si>
  <si>
    <t xml:space="preserve">Reel 20s</t>
  </si>
  <si>
    <t xml:space="preserve">London Design Festival started today and most of it is free.</t>
  </si>
  <si>
    <t xml:space="preserve">Rapid list of 5 free LDF things across different districts (Brompton, Shoreditch, Bankside, Mayfair, King's Cross) with the tube stop stamped on each. Runs 12-20 Sep.</t>
  </si>
  <si>
    <t xml:space="preserve">Note it's dispersed across the city — which quietly justifies staying outside Zone 1. Don't say that out loud yet; the geography does the work.</t>
  </si>
  <si>
    <t xml:space="preserve">Which district are you doing? 👇</t>
  </si>
  <si>
    <t xml:space="preserve">5 short clips or stock of each district, on-screen text overlays</t>
  </si>
  <si>
    <t xml:space="preserve">London Design Festival 12-20 Sep</t>
  </si>
  <si>
    <t xml:space="preserve">Mon</t>
  </si>
  <si>
    <t xml:space="preserve">W1</t>
  </si>
  <si>
    <t xml:space="preserve">Reel 30s</t>
  </si>
  <si>
    <t xml:space="preserve">This is the busiest week in London until Christmas. Here's what's actually happening.</t>
  </si>
  <si>
    <t xml:space="preserve">Weekly anchor format #1. Fashion Week (17-21), Design Festival (to 20), Open House London. Three events, three tube stops, one line each. Establish this Monday slot as a habit.</t>
  </si>
  <si>
    <t xml:space="preserve">Set the template: 'LONDON THIS WEEK' as a fixed on-screen title card. Same music bed, same font, every Monday. This becomes the show people come back for.</t>
  </si>
  <si>
    <t xml:space="preserve">Follow — this drops every Monday</t>
  </si>
  <si>
    <t xml:space="preserve">Title card graphic, 3 event clips/stock, ambient London audio</t>
  </si>
  <si>
    <t xml:space="preserve">LFW SS27 + LDF</t>
  </si>
  <si>
    <t xml:space="preserve">Tue</t>
  </si>
  <si>
    <t xml:space="preserve">STAY</t>
  </si>
  <si>
    <t xml:space="preserve">Carousel 8</t>
  </si>
  <si>
    <t xml:space="preserve">£230 a night in Canary Wharf. A hotel room — or a 21st-floor two-bed with a balcony.</t>
  </si>
  <si>
    <t xml:space="preserve">P01 E14 8NT at its £230 base rate vs a comparable Canary Wharf hotel at the same price. Slides alternate hotel / flat with the same annotation categories: square metres, kitchen, washing machine, desk, the view, breakfast for four.</t>
  </si>
  <si>
    <t xml:space="preserve">Be scrupulously fair. Use a real hotel price you can screenshot, and your real rate. Do not name the hotel. The honesty is the persuasion.</t>
  </si>
  <si>
    <t xml:space="preserve">Link in bio for direct rates</t>
  </si>
  <si>
    <t xml:space="preserve">Full photo set of ONE flagship flat + screenshot of a comparable hotel listing</t>
  </si>
  <si>
    <t xml:space="preserve">Wed</t>
  </si>
  <si>
    <t xml:space="preserve">LANDLORD</t>
  </si>
  <si>
    <t xml:space="preserve">Carousel 7</t>
  </si>
  <si>
    <t xml:space="preserve">Section 21 is gone. Here's what that actually means if you own a London flat.</t>
  </si>
  <si>
    <t xml:space="preserve">The Renters' Rights Act 2025 commenced 1 May 2026: all ASTs periodic, Ground 1A (sale) needs 4 months' notice and is barred for 12 months, Ground 8 arrears threshold now 3 months. Explain it straight, no pitch.</t>
  </si>
  <si>
    <t xml:space="preserve">LANDLORD DAY format #1. Pure education, zero selling. The CTA is a save, not an enquiry. Trust is built by being the account that explained it first. FACT-CHECK every clause before posting.</t>
  </si>
  <si>
    <t xml:space="preserve">Save this. Send it to a landlord who hasn't read it.</t>
  </si>
  <si>
    <t xml:space="preserve">Text-on-screen graphics only — no footage needed</t>
  </si>
  <si>
    <t xml:space="preserve">RRA in force since 1 May 2026</t>
  </si>
  <si>
    <t xml:space="preserve">PROOF</t>
  </si>
  <si>
    <t xml:space="preserve">Nobody photographs this part of a short-let. So we did.</t>
  </si>
  <si>
    <t xml:space="preserve">The turnover. Real footage, unglamorous: stripping beds, the laundry run, checking under the sofa, the linen count, restocking. Ends on the finished room. No music-video gloss.</t>
  </si>
  <si>
    <t xml:space="preserve">PROOF DAY format #1. The category's trust problem is 'is this place actually clean and actually real'. Showing the boring work answers it better than any five-star screenshot.</t>
  </si>
  <si>
    <t xml:space="preserve">This happens between every single guest.</t>
  </si>
  <si>
    <t xml:space="preserve">Film one full turnover on a phone — 15 clips, 3-5s each</t>
  </si>
  <si>
    <t xml:space="preserve">Open House weekend: 8 London buildings you can walk into for free this weekend, today only.</t>
  </si>
  <si>
    <t xml:space="preserve">Fast-cut list with addresses and nearest tube. Urgency is real — it's this weekend.</t>
  </si>
  <si>
    <t xml:space="preserve">Saturday DISCOVER slot. Post by 8am. Time-sensitive content gets shared in group chats, which is the highest-value share there is.</t>
  </si>
  <si>
    <t xml:space="preserve">Send this to whoever you're going with</t>
  </si>
  <si>
    <t xml:space="preserve">Stock/press images of the buildings, on-screen text</t>
  </si>
  <si>
    <t xml:space="preserve">Open House London</t>
  </si>
  <si>
    <t xml:space="preserve">W2</t>
  </si>
  <si>
    <t xml:space="preserve">Laver Cup, England v Spain, and the last of Fashion Week. London this week.</t>
  </si>
  <si>
    <t xml:space="preserve">Weekly anchor #2. Laver Cup at The O2 25-27 Sep (note: the ATP Finals are in Turin, not London — say so, it's a genuine correction people will thank you for). England v Spain at Wembley Sat 26.</t>
  </si>
  <si>
    <t xml:space="preserve">The ATP correction is a great engagement hook because half of London gets it wrong. Being right is a personality.</t>
  </si>
  <si>
    <t xml:space="preserve">Following along? Monday drops weekly.</t>
  </si>
  <si>
    <t xml:space="preserve">Title card, O2 exterior clip, Wembley clip</t>
  </si>
  <si>
    <t xml:space="preserve">Laver Cup 25-27, Eng v Spain 26</t>
  </si>
  <si>
    <t xml:space="preserve">PRACTICAL</t>
  </si>
  <si>
    <t xml:space="preserve">You land at Heathrow at 6am and can't check in until 3. Here's the nine-hour plan.</t>
  </si>
  <si>
    <t xml:space="preserve">The single most save-worthy post you can make. Luggage storage options with prices, breakfast near the Piccadilly line, a shower option, a free museum that opens at 10, and where to be at 2:45.</t>
  </si>
  <si>
    <t xml:space="preserve">PRACTICAL slot. This solves a real problem for every long-haul arrival. It will get saved and sent for years. Update the prices annually.</t>
  </si>
  <si>
    <t xml:space="preserve">Save this before your next early flight</t>
  </si>
  <si>
    <t xml:space="preserve">Heathrow arrivals clip, tube clip, 3 location clips — or good stock</t>
  </si>
  <si>
    <t xml:space="preserve">Reel 35s</t>
  </si>
  <si>
    <t xml:space="preserve">[ON HOLD — see compliance flag] Your flat can legally be short-let for 90 nights a year. Most people find out too late.</t>
  </si>
  <si>
    <t xml:space="preserve">The Deregulation Act 2015 s.44 rule — and the part almost nobody mentions: there are TWO conditions, 90 nights AND someone liable for council tax. Camden's own May 2026 report found 64% of its 7,516 short-lets exceeded 90 nights in 2025.</t>
  </si>
  <si>
    <t xml:space="preserve">LANDLORD DAY #2. ON HOLD until Seeker's own 90-night position is confirmed: 90% occupancy across the portfolio does not sit inside a 90-night cap without planning permission, and this post cannot go out while that is unresolved. If confirmed, it's the strongest post in the track. Add: 'this is general information, not legal advice.'</t>
  </si>
  <si>
    <t xml:space="preserve">Save it. Ask us anything in the comments.</t>
  </si>
  <si>
    <t xml:space="preserve">Text-on-screen graphics, maybe a Camden street clip</t>
  </si>
  <si>
    <t xml:space="preserve">90-night rule</t>
  </si>
  <si>
    <t xml:space="preserve">Carousel 5</t>
  </si>
  <si>
    <t xml:space="preserve">Eleven guests told us the sofa was uncomfortable. Here's what we did.</t>
  </si>
  <si>
    <t xml:space="preserve">Show the actual review quotes (anonymised), then the replacement sofa, then the review that came after. A visible feedback loop.</t>
  </si>
  <si>
    <t xml:space="preserve">PROOF DAY #2. This format is unbeatable because it admits a fault. Nobody expects a company to publish its own bad reviews. Do this every time you fix something.</t>
  </si>
  <si>
    <t xml:space="preserve">Tell us what we should fix next 👇</t>
  </si>
  <si>
    <t xml:space="preserve">Screenshots of real reviews (anonymised), before/after sofa photos</t>
  </si>
  <si>
    <t xml:space="preserve">Where to actually eat around Wembley before kick-off — not the ground.</t>
  </si>
  <si>
    <t xml:space="preserve">England v Spain today. 5 spots within 12 minutes' walk of Wembley Park station, with prices. Post at 9am for a 5pm kick-off.</t>
  </si>
  <si>
    <t xml:space="preserve">Match-day content posted the morning of the match is a share machine. Repeat this format for every big Wembley/Twickenham date in the calendar.</t>
  </si>
  <si>
    <t xml:space="preserve">Send this to whoever's got the tickets</t>
  </si>
  <si>
    <t xml:space="preserve">5 food spot clips or stock, Wembley Way clip</t>
  </si>
  <si>
    <t xml:space="preserve">England v Spain, Wembley</t>
  </si>
  <si>
    <t xml:space="preserve">W3</t>
  </si>
  <si>
    <t xml:space="preserve">ExCeL has three expos this week and the Film Festival starts Thursday.</t>
  </si>
  <si>
    <t xml:space="preserve">Weekly anchor #3. Corporate-leaning week: ExCeL cluster, International Security/Cyber Expo, BFI LFF opens 1 Oct.</t>
  </si>
  <si>
    <t xml:space="preserve">Rotate the weekly anchor's tone with the week's audience — this one skews corporate, so the language is drier and the tube-stop information is the value.</t>
  </si>
  <si>
    <t xml:space="preserve">Monday, every week.</t>
  </si>
  <si>
    <t xml:space="preserve">Title card, ExCeL clip, Southbank clip</t>
  </si>
  <si>
    <t xml:space="preserve">ExCeL expo cluster, BFI LFF opens 1 Oct</t>
  </si>
  <si>
    <t xml:space="preserve">Twelve minutes from ExCeL. This is the flat, and this is the walk.</t>
  </si>
  <si>
    <t xml:space="preserve">P01 Canary Wharf (E14 8NT) → Canary Wharf station → Custom House → ExCeL. One continuous take, sped up, timer on screen. Start on the 21st-floor balcony.</t>
  </si>
  <si>
    <t xml:space="preserve">The 'timed walk' format is your signature. It proves a claim rather than making one. Do one for every property near a major venue. Enormously reassuring for corporate bookers.</t>
  </si>
  <si>
    <t xml:space="preserve">Direct rates in bio — no OTA fee</t>
  </si>
  <si>
    <t xml:space="preserve">One continuous walk filmed on a phone gimbal or steady hand</t>
  </si>
  <si>
    <t xml:space="preserve">41% of landlords had a void last year. The average was 66 days.</t>
  </si>
  <si>
    <t xml:space="preserve">In London that's roughly £5,100 of nothing. Set against ONS July 2026 average London rent of £2,317/month. The pitch isn't 'earn more' — it's 'earn certainly'.</t>
  </si>
  <si>
    <t xml:space="preserve">LANDLORD DAY #3. This is the strategic heart of your landlord pitch: London SA gross (~£32.2k/listing per AirDNA Sep 2026) is only ~16% above long-let gross on a much heavier cost base. Do NOT sell a yield multiple. Sell certainty, voids covered, and no arrears. Competitors overclaim; you won't.</t>
  </si>
  <si>
    <t xml:space="preserve">DM 'NUMBERS' for our honest comparison</t>
  </si>
  <si>
    <t xml:space="preserve">Data graphics only</t>
  </si>
  <si>
    <t xml:space="preserve">520 reviews. These are the six places our guests keep mentioning.</t>
  </si>
  <si>
    <t xml:space="preserve">Mine the review export for the cafés, pubs, parks and walks guests name unprompted. Six places, six neighbourhoods, one line from a real review on each. Text cards over B-roll of each spot.</t>
  </si>
  <si>
    <t xml:space="preserve">PROOF DAY #3. Guests recommending London through your reviews is proof and discovery content at once — and it needs no one on camera. Requires the review export (D02).</t>
  </si>
  <si>
    <t xml:space="preserve">Which one are you trying first?</t>
  </si>
  <si>
    <t xml:space="preserve">Review export + 6 short clips of the named spots (or stock)</t>
  </si>
  <si>
    <t xml:space="preserve">The Film Festival is on. Here are the 8 screenings you can still get into.</t>
  </si>
  <si>
    <t xml:space="preserve">BFI LFF runs 1-11 Oct. Practical, current, with prices and venues.</t>
  </si>
  <si>
    <t xml:space="preserve">Saturday DISCOVER. Time-limited utility content — the kind people screenshot.</t>
  </si>
  <si>
    <t xml:space="preserve">Save it, the good ones go fast</t>
  </si>
  <si>
    <t xml:space="preserve">Southbank/BFI clips or press stills</t>
  </si>
  <si>
    <t xml:space="preserve">BFI London Film Festival</t>
  </si>
  <si>
    <t xml:space="preserve">W4</t>
  </si>
  <si>
    <t xml:space="preserve">NFL at Tottenham twice this month, England play Tuesday, and the Film Festival's still running.</t>
  </si>
  <si>
    <t xml:space="preserve">Weekly anchor #4. NFL at Spurs 4 &amp; 11 Oct, England v Czechia 6 Oct, LFF continuing.</t>
  </si>
  <si>
    <t xml:space="preserve">American visitors book 4-7 nights, not 2 — that's the commercial point behind this week's content. Aim some of it at a US audience explicitly.</t>
  </si>
  <si>
    <t xml:space="preserve">Monday. Every week.</t>
  </si>
  <si>
    <t xml:space="preserve">Title card, Spurs stadium clip, Wembley clip</t>
  </si>
  <si>
    <t xml:space="preserve">NFL London, Eng v Czechia</t>
  </si>
  <si>
    <t xml:space="preserve">American in London for the NFL game? Six things that will confuse you.</t>
  </si>
  <si>
    <t xml:space="preserve">Contactless on the tube (no ticket needed), which side to stand on the escalator, tipping, the plug, 'first floor' isn't the ground floor, and why nobody has air conditioning.</t>
  </si>
  <si>
    <t xml:space="preserve">Written for US visitors, who book longer stays. Funny, useful, and geo-relevant. Could travel well on TikTok.</t>
  </si>
  <si>
    <t xml:space="preserve">Tag the American you're hosting</t>
  </si>
  <si>
    <t xml:space="preserve">Tube clips, escalator clip, plug close-up — all easy phone shots</t>
  </si>
  <si>
    <t xml:space="preserve">NFL London</t>
  </si>
  <si>
    <t xml:space="preserve">Your lender and your freeholder may both say no. Check before you convert.</t>
  </si>
  <si>
    <t xml:space="preserve">Mortgage consent-to-let clauses, leasehold covenants against short-letting (Nemcova and Koumetto both went against the leaseholder), buildings insurance, and whether business rates apply.</t>
  </si>
  <si>
    <t xml:space="preserve">LANDLORD DAY #4. The 'reasons NOT to do this' post. Counter-intuitively your strongest acquisition content — it filters out landlords who'd become problems and earns the trust of the ones who wouldn't. Always flag: not legal advice.</t>
  </si>
  <si>
    <t xml:space="preserve">Not sure where you stand? Ask below.</t>
  </si>
  <si>
    <t xml:space="preserve">Text graphics</t>
  </si>
  <si>
    <t xml:space="preserve">Four things to check before you pay a deposit on ANY London short-let.</t>
  </si>
  <si>
    <t xml:space="preserve">Reverse-image the photos, insist on a video call or a real address, check the listing has a phone number that answers, never pay by bank transfer to a personal account.</t>
  </si>
  <si>
    <t xml:space="preserve">PROOF DAY #4. You are teaching people how to avoid scams — including, implicitly, how to check YOU. Confidence is the message. Massive save and share potential.</t>
  </si>
  <si>
    <t xml:space="preserve">Save this. Send it to whoever books your trips.</t>
  </si>
  <si>
    <t xml:space="preserve">Text graphics + one screen recording of a reverse image search</t>
  </si>
  <si>
    <t xml:space="preserve">Six London museums that are completely free and never busy on a Saturday morning.</t>
  </si>
  <si>
    <t xml:space="preserve">Not the British Museum. Sir John Soane's, the Wellcome Collection, the Hunterian, the Foundling Museum, Leighton House, the Garden Museum.</t>
  </si>
  <si>
    <t xml:space="preserve">Evergreen DISCOVER content. This is the kind of post that keeps earning reach for months. Build 6-8 of these evergreen pillars.</t>
  </si>
  <si>
    <t xml:space="preserve">Save for a rainy weekend</t>
  </si>
  <si>
    <t xml:space="preserve">6 clips or good stock of each</t>
  </si>
  <si>
    <t xml:space="preserve">W5</t>
  </si>
  <si>
    <t xml:space="preserve">This is the most expensive week to be in London until Christmas. Here's why.</t>
  </si>
  <si>
    <t xml:space="preserve">Weekly anchor #5 and the biggest one. Frieze London + Frieze Masters (14-18, Regent's Park), LFF closing, NFL at Wembley Sunday 18, DTX and New Scientist Live.</t>
  </si>
  <si>
    <t xml:space="preserve">Peak ADR week of the autumn. Content should NOT discount — it should justify. Talk about what's on, not about price.</t>
  </si>
  <si>
    <t xml:space="preserve">Title card, Regent's Park clip, Wembley clip</t>
  </si>
  <si>
    <t xml:space="preserve">FRIEZE WEEK — peak</t>
  </si>
  <si>
    <t xml:space="preserve">Carousel 10</t>
  </si>
  <si>
    <t xml:space="preserve">Frieze without a ticket: 10 free shows on in London this week that are arguably better.</t>
  </si>
  <si>
    <t xml:space="preserve">Gallery shows, public installations, the Frieze Sculpture park in Regent's Park (free), plus the commercial galleries in Mayfair that are free and open to anyone.</t>
  </si>
  <si>
    <t xml:space="preserve">The counter-programming play. Frieze coverage is saturated with the ticketed thing; almost nobody covers the free half. P05, P06, P14 and P17 are all walkable to Regent's Park — the final slide can say so.</t>
  </si>
  <si>
    <t xml:space="preserve">Save this — most run all week</t>
  </si>
  <si>
    <t xml:space="preserve">10 gallery/artwork clips or press images</t>
  </si>
  <si>
    <t xml:space="preserve">Frieze London 14-18 Oct</t>
  </si>
  <si>
    <t xml:space="preserve">Reel 40s</t>
  </si>
  <si>
    <t xml:space="preserve">A £65-per-property national database starts on 15 December. Here's what you have to do.</t>
  </si>
  <si>
    <t xml:space="preserve">The national landlord database opens 15 Dec 2026 at £65/property/year. Combine with: licensing is at a record 174 designations covering 28 of 33 London boroughs, and £24.1m of London fines were logged to May 2026.</t>
  </si>
  <si>
    <t xml:space="preserve">LANDLORD DAY #5. Deadline content with a real date creates urgency without you manufacturing any. VERIFY the date and fee before posting — this is regulatory and must be right.</t>
  </si>
  <si>
    <t xml:space="preserve">Save the date. 15 December.</t>
  </si>
  <si>
    <t xml:space="preserve">Calendar graphic, text overlays</t>
  </si>
  <si>
    <t xml:space="preserve">National landlord database 15 Dec 2026</t>
  </si>
  <si>
    <t xml:space="preserve">Every review we got in September. Including the three-star.</t>
  </si>
  <si>
    <t xml:space="preserve">Screen-record scrolling through the month's reviews at real speed — the good, the middling, the critical. Then respond to the least flattering one in on-screen text or voiceover: what was wrong, what changed.</t>
  </si>
  <si>
    <t xml:space="preserve">PROOF DAY #5. Make this a monthly format on the 15th. Publishing the three-star is the whole point; anyone can screenshot a five-star.</t>
  </si>
  <si>
    <t xml:space="preserve">Booking direct? Rates in bio.</t>
  </si>
  <si>
    <t xml:space="preserve">Screen recording of reviews + text/voiceover response</t>
  </si>
  <si>
    <t xml:space="preserve">Four London flats, four price points, one video. Which one's your trip?</t>
  </si>
  <si>
    <t xml:space="preserve">Rapid tour: 30s split four ways. Studio → one-bed → two-bed → the big one. Nightly rate stamped on each.</t>
  </si>
  <si>
    <t xml:space="preserve">The 'pick one' format drives comments, which drives reach. Rotate the four properties every time you run it so it never repeats.</t>
  </si>
  <si>
    <t xml:space="preserve">Comment 1, 2, 3 or 4 👇</t>
  </si>
  <si>
    <t xml:space="preserve">Photo/video sets for 4 different properties</t>
  </si>
  <si>
    <t xml:space="preserve">W6</t>
  </si>
  <si>
    <t xml:space="preserve">The quiet week. Diwali on the Square, the Wedding Show, and cheap everything.</t>
  </si>
  <si>
    <t xml:space="preserve">Weekly anchor #6. Genuinely softer week — Diwali on Trafalgar Square and the National Wedding Show are the weekend rescues. Clocks go back Sunday 25.</t>
  </si>
  <si>
    <t xml:space="preserve">SOFT WEEK STRATEGY: this is a week the content calendar exists to fix. Lean into value and emptiness, not events. 'London is cheap and quiet this week' is a real, true, appealing message.</t>
  </si>
  <si>
    <t xml:space="preserve">Title card, Trafalgar Square clip</t>
  </si>
  <si>
    <t xml:space="preserve">Diwali on the Square, soft week</t>
  </si>
  <si>
    <t xml:space="preserve">A family of four, five nights by Hyde Park. Two hotel rooms — or one three-bed flat. Same money.</t>
  </si>
  <si>
    <t xml:space="preserve">P03 Bayswater (W2 6HG, sleeps 8, base £323) for five nights vs two comparable Bayswater hotel rooms on the same dates. Real screenshots, dated. Show what the difference buys: a kitchen, a washing machine, a door between the adults and the kids. Posted the week before half term, when parents are booking.</t>
  </si>
  <si>
    <t xml:space="preserve">Soft week and the week before half term — the right moment for a value argument. Value, never cheap: the message is what the same money buys, not that it costs less. Brand rule: never sound cheap or desperate.</t>
  </si>
  <si>
    <t xml:space="preserve">Book direct — 10% under the OTA rate</t>
  </si>
  <si>
    <t xml:space="preserve">Hotel screenshots (dated) + P03 Bayswater photo set</t>
  </si>
  <si>
    <t xml:space="preserve">Post-Frieze soft week · pre-half-term</t>
  </si>
  <si>
    <t xml:space="preserve">Rent-to-rent just got dangerous. Rent repayment orders now reach the superior landlord.</t>
  </si>
  <si>
    <t xml:space="preserve">RRA Part 4 explicitly reaches superior landlords, closing the Rakusen shelter; RROs doubled to two years' rent; penalties £7,000 and £40,000.</t>
  </si>
  <si>
    <t xml:space="preserve">LANDLORD DAY #6. This is the most commercially useful post in the landlord track: it makes cowboy R2R operators radioactive and positions a compliant management company as the safe option. Be precise and cite the Act.</t>
  </si>
  <si>
    <t xml:space="preserve">Working with an R2R operator? Read this twice.</t>
  </si>
  <si>
    <t xml:space="preserve">RRA Part 4</t>
  </si>
  <si>
    <t xml:space="preserve">Why we started this, and the flat that nearly ended it.</t>
  </si>
  <si>
    <t xml:space="preserve">Founder story without a face: photos of the first property, on-screen text or Corentin's voiceover. The first flat, what went wrong, what you learned. Honestly told, not polished.</t>
  </si>
  <si>
    <t xml:space="preserve">HUMAN slot, faceless version. Voice or text carries it; the brand stays behind the camera. The failure is the interesting part — don't sand it off.</t>
  </si>
  <si>
    <t xml:space="preserve">Photos of the first property + voiceover audio (or text-only)</t>
  </si>
  <si>
    <t xml:space="preserve">Half term starts Monday. Eleven free things to do with kids in London.</t>
  </si>
  <si>
    <t xml:space="preserve">Autumn half term is 26-30 Oct. Free, indoor-heavy (it's late October), spread across zones, with tube stops.</t>
  </si>
  <si>
    <t xml:space="preserve">Family audience activation. Post the Saturday BEFORE half term, not during — parents plan on the weekend.</t>
  </si>
  <si>
    <t xml:space="preserve">Save this, you'll need it Tuesday</t>
  </si>
  <si>
    <t xml:space="preserve">11 location clips or stock</t>
  </si>
  <si>
    <t xml:space="preserve">Autumn half term 26-30 Oct</t>
  </si>
  <si>
    <t xml:space="preserve">W7</t>
  </si>
  <si>
    <t xml:space="preserve">Half term week. Halloween on Saturday. Clocks went back. Here's the plan.</t>
  </si>
  <si>
    <t xml:space="preserve">Weekly anchor #7. Family-skewed week. Halloween falls on Saturday 31 Oct at the end of half term — an unusually good collision.</t>
  </si>
  <si>
    <t xml:space="preserve">Shift the weekly anchor's tone to families this week. Same format, different audience.</t>
  </si>
  <si>
    <t xml:space="preserve">Title card, autumn London clips</t>
  </si>
  <si>
    <t xml:space="preserve">Half term + Halloween Sat 31</t>
  </si>
  <si>
    <t xml:space="preserve">The Harry Potter Studio Tour is 90 minutes from central London. Or ten minutes from this flat.</t>
  </si>
  <si>
    <t xml:space="preserve">P19 Kings Langley (WD4 8FY, 2-bed, sleeps 6, parking, base £185). The journey most families dread — Euston, the shuttle bus, the queue — versus a ten-minute drive from a flat with a parking space. Timed if possible. Half-term week.</t>
  </si>
  <si>
    <t xml:space="preserve">The one property in the portfolio with a genuinely unique selling point for families, in the one week families are booking. Note it sits outside Greater London — the 90-night rule doesn't apply there, which is worth knowing internally.</t>
  </si>
  <si>
    <t xml:space="preserve">Direct rates in bio</t>
  </si>
  <si>
    <t xml:space="preserve">P19 photo set + journey footage/stock of the Studio Tour approach</t>
  </si>
  <si>
    <t xml:space="preserve">Half term · Studio Tour</t>
  </si>
  <si>
    <t xml:space="preserve">Furnished holiday lettings tax relief was abolished in April 2025. Some companies still pitch it.</t>
  </si>
  <si>
    <t xml:space="preserve">FHL status ended April 2025 — serviced accommodation now has no special tax advantage over long letting. Name the claim, not the competitor.</t>
  </si>
  <si>
    <t xml:space="preserve">LANDLORD DAY #7. Correcting a live piece of industry misinformation is high-authority content. It also inoculates your prospects against competitors' pitches. Flag: not tax advice, speak to your accountant.</t>
  </si>
  <si>
    <t xml:space="preserve">If someone's still telling you this, ask them when.</t>
  </si>
  <si>
    <t xml:space="preserve">FHL abolition Apr 2025</t>
  </si>
  <si>
    <t xml:space="preserve">What we do to a flat between two guests. In real time. Unedited.</t>
  </si>
  <si>
    <t xml:space="preserve">One room, one continuous unedited take, however long it takes. No music. Just the work.</t>
  </si>
  <si>
    <t xml:space="preserve">PROOF DAY #7. The unedited real-time version of the turnover reel is a different, stronger post than the fast-cut one. Slow content is trust content.</t>
  </si>
  <si>
    <t xml:space="preserve">Every guest. Every time.</t>
  </si>
  <si>
    <t xml:space="preserve">One long continuous take</t>
  </si>
  <si>
    <t xml:space="preserve">Halloween in London tonight — five things that aren't a club night.</t>
  </si>
  <si>
    <t xml:space="preserve">For families and for people who don't want a nightclub. Post by 10am.</t>
  </si>
  <si>
    <t xml:space="preserve">Same-day utility content. Posted early, this gets shared into plans.</t>
  </si>
  <si>
    <t xml:space="preserve">Send this to your group chat</t>
  </si>
  <si>
    <t xml:space="preserve">5 clips or stock</t>
  </si>
  <si>
    <t xml:space="preserve">Halloween</t>
  </si>
  <si>
    <t xml:space="preserve">W8</t>
  </si>
  <si>
    <t xml:space="preserve">Fireworks Thursday, drones at Ally Pally at the weekend, and Australia at Twickenham on Sunday.</t>
  </si>
  <si>
    <t xml:space="preserve">Weekly anchor #8. Bonfire Night 5 Nov, Ally Pally Fireworks &amp; Drone Festival 7-8, England v Australia Sun 8 Nov.</t>
  </si>
  <si>
    <t xml:space="preserve">Strong week. Three genuinely different audiences in one anchor post — that's the point of the format.</t>
  </si>
  <si>
    <t xml:space="preserve">Title card, fireworks stock, Twickenham clip</t>
  </si>
  <si>
    <t xml:space="preserve">Bonfire Night, Ally Pally, Eng v Aus</t>
  </si>
  <si>
    <t xml:space="preserve">Carousel 9</t>
  </si>
  <si>
    <t xml:space="preserve">Nine London firework displays on Thursday, ranked by how far you'll have to walk after.</t>
  </si>
  <si>
    <t xml:space="preserve">The ranking criterion is the joke and the utility. Include the ones with a station that stays open.</t>
  </si>
  <si>
    <t xml:space="preserve">A genuinely novel angle on the most-covered London content of the year. The 'walk home' criterion is what makes it yours.</t>
  </si>
  <si>
    <t xml:space="preserve">Save it — you'll thank yourself at 9pm</t>
  </si>
  <si>
    <t xml:space="preserve">Firework stock, station clips, map graphics</t>
  </si>
  <si>
    <t xml:space="preserve">Bonfire Night 5 Nov</t>
  </si>
  <si>
    <t xml:space="preserve">We turned down a property last month. Here's why.</t>
  </si>
  <si>
    <t xml:space="preserve">A real case: leasehold covenant, or a lender clause, or a building with no lift on the fourth floor. Explain the decision honestly.</t>
  </si>
  <si>
    <t xml:space="preserve">LANDLORD DAY #8. Saying no publicly is the strongest possible credibility signal in a market full of operators who say yes to everything. It's also true, which makes it easy.</t>
  </si>
  <si>
    <t xml:space="preserve">We'd rather tell you now than in month three.</t>
  </si>
  <si>
    <t xml:space="preserve">Text graphics or a piece-to-camera</t>
  </si>
  <si>
    <t xml:space="preserve">The Australian family who booked four nights and stayed eleven.</t>
  </si>
  <si>
    <t xml:space="preserve">A single guest story, told properly, with their permission and their words. What they came for, what changed their mind, what they did.</t>
  </si>
  <si>
    <t xml:space="preserve">PROOF DAY #8. One story beats ten testimonials. Get written permission. Offer them something for it.</t>
  </si>
  <si>
    <t xml:space="preserve">Rates and dates in bio</t>
  </si>
  <si>
    <t xml:space="preserve">Guest photos (with permission), property photos</t>
  </si>
  <si>
    <t xml:space="preserve">Australia play at Twickenham tomorrow. Where the away fans actually drink.</t>
  </si>
  <si>
    <t xml:space="preserve">Twickenham matchday guide: pubs that take the away crowd, the train from Waterloo, how long the queue actually is, where to eat after.</t>
  </si>
  <si>
    <t xml:space="preserve">Matchday format again. You now have five more Twickenham dates this autumn — this is a template, not a one-off.</t>
  </si>
  <si>
    <t xml:space="preserve">Send this to whoever's going</t>
  </si>
  <si>
    <t xml:space="preserve">Twickenham area clips, station clips</t>
  </si>
  <si>
    <t xml:space="preserve">England v Australia 8 Nov</t>
  </si>
  <si>
    <t xml:space="preserve">W9</t>
  </si>
  <si>
    <t xml:space="preserve">Noah Kahan is at the O2 five nights running and Japan are at Twickenham. Busy week.</t>
  </si>
  <si>
    <t xml:space="preserve">Weekly anchor #9. Noah Kahan ×5 at The O2 13-17 Nov, England v Japan 14 Nov, London Jazz Festival opens, Luxury Travel Fair.</t>
  </si>
  <si>
    <t xml:space="preserve">Five consecutive O2 nights means a whole week of SE/E London demand. If you have Greenwich/Docklands stock, this is its week.</t>
  </si>
  <si>
    <t xml:space="preserve">Title card, O2 clip, Twickenham clip</t>
  </si>
  <si>
    <t xml:space="preserve">Noah Kahan ×5, Eng v Japan</t>
  </si>
  <si>
    <t xml:space="preserve">Nine minutes from the O2, door to door. Filmed in one take.</t>
  </si>
  <si>
    <t xml:space="preserve">P01 Canary Wharf → Jubilee line → North Greenwich → the O2. Timer on screen, no cuts. Alternative: P09 Greenwich (SE10 8EQ).</t>
  </si>
  <si>
    <t xml:space="preserve">Reuse your signature format on a new venue during that venue's biggest week. This is how a format compounds.</t>
  </si>
  <si>
    <t xml:space="preserve">Five nights of gigs. Rates in bio.</t>
  </si>
  <si>
    <t xml:space="preserve">One continuous journey P01 → O2</t>
  </si>
  <si>
    <t xml:space="preserve">Noah Kahan run</t>
  </si>
  <si>
    <t xml:space="preserve">What a London short-let actually costs to run. Every line item.</t>
  </si>
  <si>
    <t xml:space="preserve">Cleaning, linen, utilities, wifi, insurance, OTA commission, void nights, restocking, management, licensing, the database fee. Real numbers.</t>
  </si>
  <si>
    <t xml:space="preserve">LANDLORD DAY #9. Radical transparency about your own cost base. Landlords who see the real numbers stop expecting fantasy yields — which makes them better clients. It also makes competitors' claims look silly without you saying a word.</t>
  </si>
  <si>
    <t xml:space="preserve">DM 'NUMBERS' for the full breakdown</t>
  </si>
  <si>
    <t xml:space="preserve">Spreadsheet screen recording + text graphics</t>
  </si>
  <si>
    <t xml:space="preserve">The linen cupboard. Count them with me.</t>
  </si>
  <si>
    <t xml:space="preserve">Open the cupboard, count the sets out loud, explain the rotation and how often things get replaced. Oddly compelling. People love an inventory.</t>
  </si>
  <si>
    <t xml:space="preserve">PROOF DAY #9. Operational detail as content. It signals a real business with real systems, which is exactly what a nervous booker and a cautious landlord both need to see.</t>
  </si>
  <si>
    <t xml:space="preserve">Now you know.</t>
  </si>
  <si>
    <t xml:space="preserve">One clip of the linen store</t>
  </si>
  <si>
    <t xml:space="preserve">The London Jazz Festival is on and half of it is free.</t>
  </si>
  <si>
    <t xml:space="preserve">Free gigs across the city, venue by venue, with dates. Runs through the month.</t>
  </si>
  <si>
    <t xml:space="preserve">Saturday DISCOVER. Culture content that isn't the obvious tourist thing broadens who follows you.</t>
  </si>
  <si>
    <t xml:space="preserve">Save — runs all month</t>
  </si>
  <si>
    <t xml:space="preserve">Venue clips or press images</t>
  </si>
  <si>
    <t xml:space="preserve">London Jazz Festival</t>
  </si>
  <si>
    <t xml:space="preserve">W10</t>
  </si>
  <si>
    <t xml:space="preserve">Winter Wonderland opens Thursday and the All Blacks are at Twickenham on Saturday.</t>
  </si>
  <si>
    <t xml:space="preserve">Weekly anchor #10. Winter Wonderland opens 19 Nov (runs to 3 Jan), England v New Zealand Sat 21 — the hardest ticket and highest ADR day of November. Christmas at Kew already open from 13 Nov.</t>
  </si>
  <si>
    <t xml:space="preserve">Christmas begins here. Shift the visual palette — warmer, darker, lights. Keep it until January.</t>
  </si>
  <si>
    <t xml:space="preserve">Title card, Hyde Park clip, Twickenham clip</t>
  </si>
  <si>
    <t xml:space="preserve">Winter Wonderland opens 19, Eng v NZ 21</t>
  </si>
  <si>
    <t xml:space="preserve">Winter Wonderland: go on a Tuesday, enter at Hyde Park Corner, and skip these three things.</t>
  </si>
  <si>
    <t xml:space="preserve">The insider guide. Best entrance, quietest times, what's worth paying for, what isn't, what food is actually good, and the tube exit that avoids the crush.</t>
  </si>
  <si>
    <t xml:space="preserve">PRACTICAL slot on the biggest family draw of the season. Genuinely useful, highly saveable, and it runs for 46 days so it keeps earning.</t>
  </si>
  <si>
    <t xml:space="preserve">Save this before you go</t>
  </si>
  <si>
    <t xml:space="preserve">Hyde Park / Winter Wonderland clips (film it on opening weekend)</t>
  </si>
  <si>
    <t xml:space="preserve">Winter Wonderland 19 Nov-3 Jan</t>
  </si>
  <si>
    <t xml:space="preserve">26% of landlords are selling. 60% of single-property landlords don't know if they'll still be landlords in a year.</t>
  </si>
  <si>
    <t xml:space="preserve">NRLA data, 4 Sep 2026: 26% selling, 19% more considering it. Present it straight, then the honest question — is the problem the asset or the management?</t>
  </si>
  <si>
    <t xml:space="preserve">LANDLORD DAY #10. The strongest single data point in your landlord track. Don't gloat about it; landlords reading this are stressed. Empathy converts better than opportunism.</t>
  </si>
  <si>
    <t xml:space="preserve">If you're thinking about selling, talk to us first.</t>
  </si>
  <si>
    <t xml:space="preserve">Data graphics</t>
  </si>
  <si>
    <t xml:space="preserve">NRLA Sep 2026</t>
  </si>
  <si>
    <t xml:space="preserve">We got a two-star. Here's the review, and here's what we changed.</t>
  </si>
  <si>
    <t xml:space="preserve">The worst review of the season, read aloud, then the fix, then the outcome.</t>
  </si>
  <si>
    <t xml:space="preserve">PROOF DAY #10. Escalate the honesty. A company that publishes its two-star review is a company you can believe about everything else.</t>
  </si>
  <si>
    <t xml:space="preserve">Tell us where we're still getting it wrong.</t>
  </si>
  <si>
    <t xml:space="preserve">Review screenshot + piece-to-camera + fix footage</t>
  </si>
  <si>
    <t xml:space="preserve">All Blacks day. Twickenham, from Waterloo, timed.</t>
  </si>
  <si>
    <t xml:space="preserve">The full journey, timed on screen: Waterloo → Twickenham station → the walk → the ground. Plus which train, and the one after the match that isn't rammed.</t>
  </si>
  <si>
    <t xml:space="preserve">The biggest rugby day of the autumn. Post at 8am.</t>
  </si>
  <si>
    <t xml:space="preserve">Send it to your group</t>
  </si>
  <si>
    <t xml:space="preserve">One filmed journey Waterloo to Twickenham</t>
  </si>
  <si>
    <t xml:space="preserve">England v New Zealand</t>
  </si>
  <si>
    <t xml:space="preserve">W11</t>
  </si>
  <si>
    <t xml:space="preserve">Six rugby finals. One weekend. Twelve nations in London. This is the big one.</t>
  </si>
  <si>
    <t xml:space="preserve">Weekly anchor #11 — the highest-value weekend of the autumn. Nations Championship Finals Week 27-29 Nov at Twickenham: all six finals of the new global tournament across one weekend. Also: Christmas party season opens, HOMES UK and London Build at ExCeL.</t>
  </si>
  <si>
    <t xml:space="preserve">This is the single most under-covered high-demand event in the window. If you published a 'where to stay' piece in early October you were first; this is the follow-up.</t>
  </si>
  <si>
    <t xml:space="preserve">Title card, Twickenham clip, flags/crowd stock</t>
  </si>
  <si>
    <t xml:space="preserve">NATIONS CHAMPIONSHIP FINALS 27-29 Nov</t>
  </si>
  <si>
    <t xml:space="preserve">Twelve nations are coming for one weekend. Four of our flats are under 40 minutes from Twickenham.</t>
  </si>
  <si>
    <t xml:space="preserve">P18 Fulham (~30 min via Clapham Junction), P10 Hanger Lane (~35), P13 Shepherd's Bush (~35), P16 Little Venice (~40). Verify journey times on TfL before posting. Straight availability post; urgency is real.</t>
  </si>
  <si>
    <t xml:space="preserve">One of the few genuinely 'salesy' posts in the whole calendar — and it's earned, because the demand is real. Keep these rare.</t>
  </si>
  <si>
    <t xml:space="preserve">Link in bio — genuinely limited</t>
  </si>
  <si>
    <t xml:space="preserve">Photo sets P18, P10, P13, P16 + journey-time graphics</t>
  </si>
  <si>
    <t xml:space="preserve">Nations Championship Finals</t>
  </si>
  <si>
    <t xml:space="preserve">What a management agreement should actually say. Six clauses to check.</t>
  </si>
  <si>
    <t xml:space="preserve">Notice period, damage liability, who holds the deposit, what happens if they can't let it, client money protection, and whether you can inspect.</t>
  </si>
  <si>
    <t xml:space="preserve">LANDLORD DAY #11. Teaching landlords to interrogate ANY management contract — including yours — is the most confident thing you can do. It also raises the bar competitors have to clear.</t>
  </si>
  <si>
    <t xml:space="preserve">Send us any contract and we'll tell you what's missing.</t>
  </si>
  <si>
    <t xml:space="preserve">Text graphics, contract close-ups</t>
  </si>
  <si>
    <t xml:space="preserve">Corporate Christmas party season starts today. Here's how we handle a 2am check-in.</t>
  </si>
  <si>
    <t xml:space="preserve">The operational reality of December: late arrivals, lost keys, the phone that actually gets answered. Show the system.</t>
  </si>
  <si>
    <t xml:space="preserve">PROOF DAY #11. Reliability content aimed squarely at the corporate booker, in the week corporate December begins.</t>
  </si>
  <si>
    <t xml:space="preserve">One number. It's answered.</t>
  </si>
  <si>
    <t xml:space="preserve">Phone/office clips, late-night arrival footage</t>
  </si>
  <si>
    <t xml:space="preserve">Christmas party season opens</t>
  </si>
  <si>
    <t xml:space="preserve">Six finals in one weekend and half of London doesn't know it's happening.</t>
  </si>
  <si>
    <t xml:space="preserve">Live from the weekend. Crowds, flags, the walk to the ground, pubs. Film it on the day, post it the same day.</t>
  </si>
  <si>
    <t xml:space="preserve">Real-time event content on the biggest weekend. Same-day posting beats polished late posting every time.</t>
  </si>
  <si>
    <t xml:space="preserve">In London this weekend? Comment where you're watching.</t>
  </si>
  <si>
    <t xml:space="preserve">Film on the day at Twickenham</t>
  </si>
  <si>
    <t xml:space="preserve">W12</t>
  </si>
  <si>
    <t xml:space="preserve">The busiest corporate week of the year in London. Every hotel in the City is full.</t>
  </si>
  <si>
    <t xml:space="preserve">Weekly anchor #12. Peak Christmas-party midweek, FinTech Connect, Christmas markets all open, Winter Wonderland running.</t>
  </si>
  <si>
    <t xml:space="preserve">Corporate-skewed week. Point the content at people booking for teams, not for themselves.</t>
  </si>
  <si>
    <t xml:space="preserve">Title card, City at night clips, market clips</t>
  </si>
  <si>
    <t xml:space="preserve">Peak corporate December</t>
  </si>
  <si>
    <t xml:space="preserve">Booking for six colleagues in December? Six hotel rooms, or one flat and a kitchen.</t>
  </si>
  <si>
    <t xml:space="preserve">P05 St John's Wood (5-bed, sleeps 8, over four floors) or P03 Bayswater (3-bed, sleeps 8). Show it working as a group space — the table, the kitchen, the sofa, the beds. Corporate rate: 10%.</t>
  </si>
  <si>
    <t xml:space="preserve">Directly targets the December group booker, who is price-sensitive and hotel-fatigued. Strong commercial timing.</t>
  </si>
  <si>
    <t xml:space="preserve">Group rates — DM us</t>
  </si>
  <si>
    <t xml:space="preserve">P05 or P03 shot as a group space (needs 2–3 people in frame)</t>
  </si>
  <si>
    <t xml:space="preserve">Christmas party season</t>
  </si>
  <si>
    <t xml:space="preserve">The database opens in thirteen days. Here's your checklist.</t>
  </si>
  <si>
    <t xml:space="preserve">The national landlord database opens 15 Dec 2026 (£65/property/year). What you'll need, what it costs, what happens if you don't.</t>
  </si>
  <si>
    <t xml:space="preserve">LANDLORD DAY #12. Deadline content, thirteen days out. VERIFY the date and fee before publishing.</t>
  </si>
  <si>
    <t xml:space="preserve">Save it. Thirteen days.</t>
  </si>
  <si>
    <t xml:space="preserve">Countdown graphic, checklist graphics</t>
  </si>
  <si>
    <t xml:space="preserve">National database 15 Dec</t>
  </si>
  <si>
    <t xml:space="preserve">Three months of this account. Everything we said we'd do, and what actually happened.</t>
  </si>
  <si>
    <t xml:space="preserve">Transparency post: what you promised in September, what you delivered, what you got wrong. Include real numbers if you're brave.</t>
  </si>
  <si>
    <t xml:space="preserve">PROOF DAY #12. The 90-day accountability post. Almost nobody does this, which is exactly why it works.</t>
  </si>
  <si>
    <t xml:space="preserve">Tell us what to do more of 👇</t>
  </si>
  <si>
    <t xml:space="preserve">Screen recordings, piece-to-camera</t>
  </si>
  <si>
    <t xml:space="preserve">Ten London Christmas markets, ranked by whether they're worth the tube fare.</t>
  </si>
  <si>
    <t xml:space="preserve">Honest rankings. Some of them aren't worth it — say so. That's what makes it readable.</t>
  </si>
  <si>
    <t xml:space="preserve">Saturday DISCOVER at peak Christmas-content season. The honest ranking is the differentiator; everyone else's list is uncritical.</t>
  </si>
  <si>
    <t xml:space="preserve">Save it. Argue with us in the comments.</t>
  </si>
  <si>
    <t xml:space="preserve">10 market clips — film over one weekend</t>
  </si>
  <si>
    <t xml:space="preserve">Christmas markets</t>
  </si>
  <si>
    <t xml:space="preserve">W13</t>
  </si>
  <si>
    <t xml:space="preserve">The darts start Friday and run for 24 days. 180,000 people are going.</t>
  </si>
  <si>
    <t xml:space="preserve">Weekly anchor #13. World Darts Championship opens 11 Dec at Alexandra Palace, running to 3 Jan — first year in the Great Hall, 180,000 tickets, up from ~90k.</t>
  </si>
  <si>
    <t xml:space="preserve">Enormous, group-heavy, and almost entirely uncovered by accommodation brands. N/NE London stock has 24 days of demand.</t>
  </si>
  <si>
    <t xml:space="preserve">Title card, Ally Pally clips</t>
  </si>
  <si>
    <t xml:space="preserve">Darts opens 11 Dec</t>
  </si>
  <si>
    <t xml:space="preserve">24 nights of darts at Ally Pally. Here's what's within 20 minutes.</t>
  </si>
  <si>
    <t xml:space="preserve">P08 Islington (N1 2RF, ~25 min) and P11 Camden (NW1 9NN, ~30 min) to Alexandra Palace. Timed-journey format. Verify on TfL.</t>
  </si>
  <si>
    <t xml:space="preserve">Match your stock to the event. If you have nothing in N London, make this a 'how to get there from anywhere' post instead — usefulness still earns reach.</t>
  </si>
  <si>
    <t xml:space="preserve">Rates in bio</t>
  </si>
  <si>
    <t xml:space="preserve">P08 + P11 photo sets + journey graphics</t>
  </si>
  <si>
    <t xml:space="preserve">World Darts Championship</t>
  </si>
  <si>
    <t xml:space="preserve">Everything that changed for London landlords in 2026, in ninety seconds.</t>
  </si>
  <si>
    <t xml:space="preserve">The year in review: RRA commencement 1 May, Section 21 gone, RRO reach extended, the database from 15 Dec, licensing at 174 designations, FHL relief gone, the STL register due March 2027.</t>
  </si>
  <si>
    <t xml:space="preserve">LANDLORD DAY #13. The year-end summary is the most saveable and shareable landlord post you'll make, and it doubles as a portfolio piece proving you know this market.</t>
  </si>
  <si>
    <t xml:space="preserve">Save this and read it twice.</t>
  </si>
  <si>
    <t xml:space="preserve">Timeline graphic</t>
  </si>
  <si>
    <t xml:space="preserve">Year in review</t>
  </si>
  <si>
    <t xml:space="preserve">Ninety days ago this account had no followers. Here's every number.</t>
  </si>
  <si>
    <t xml:space="preserve">Full transparency: reach, followers, enquiries, bookings attributed, landlord conversations. Whatever the numbers are.</t>
  </si>
  <si>
    <t xml:space="preserve">PROOF DAY #13 and the account's 90-day mark. Publishing your real numbers — good or bad — is the highest-trust content that exists, and it sets up the next quarter.</t>
  </si>
  <si>
    <t xml:space="preserve">Same time in ninety days.</t>
  </si>
  <si>
    <t xml:space="preserve">Screen recordings of analytics + voiceover or text</t>
  </si>
  <si>
    <t xml:space="preserve">90-day mark</t>
  </si>
  <si>
    <t xml:space="preserve">London between Christmas and New Year: what's actually open.</t>
  </si>
  <si>
    <t xml:space="preserve">The genuinely useful dead-zone guide. What's open on 27, 28, 29, 30 December, and what absolutely isn't.</t>
  </si>
  <si>
    <t xml:space="preserve">Published early enough for people to plan. This post will get saved by everyone visiting London over Christmas and it costs you almost nothing to make.</t>
  </si>
  <si>
    <t xml:space="preserve">Save it now, use it in a fortnight</t>
  </si>
  <si>
    <t xml:space="preserve">Text graphics + a few clips</t>
  </si>
  <si>
    <t xml:space="preserve">Christmas dead zone</t>
  </si>
  <si>
    <t xml:space="preserve">PILLAR MIX</t>
  </si>
  <si>
    <t xml:space="preserve">Place &amp; events — the reach engine</t>
  </si>
  <si>
    <t xml:space="preserve">B2B — second objective</t>
  </si>
  <si>
    <t xml:space="preserve">Trust, reviews, behind-the-scenes</t>
  </si>
  <si>
    <t xml:space="preserve">The properties themselves</t>
  </si>
  <si>
    <t xml:space="preserve">Utility / save-worthy</t>
  </si>
  <si>
    <t xml:space="preserve">People behind the business</t>
  </si>
  <si>
    <t xml:space="preserve">TOTAL</t>
  </si>
  <si>
    <t xml:space="preserve">Published so far</t>
  </si>
  <si>
    <t xml:space="preserve">Avg reach (published)</t>
  </si>
  <si>
    <t xml:space="preserve">Total saves</t>
  </si>
  <si>
    <t xml:space="preserve">Properties — from Corentin's pack, 10 Sep 2026</t>
  </si>
  <si>
    <t xml:space="preserve">19 properties. Rates are Corentin's low / high / base figures. Journey times in the venue map are estimates — verify on TfL before any post states one.</t>
  </si>
  <si>
    <t xml:space="preserve">Ref</t>
  </si>
  <si>
    <t xml:space="preserve">Postcode</t>
  </si>
  <si>
    <t xml:space="preserve">Area</t>
  </si>
  <si>
    <t xml:space="preserve">Station</t>
  </si>
  <si>
    <t xml:space="preserve">Type</t>
  </si>
  <si>
    <t xml:space="preserve">Sleeps</t>
  </si>
  <si>
    <t xml:space="preserve">Low £</t>
  </si>
  <si>
    <t xml:space="preserve">High £</t>
  </si>
  <si>
    <t xml:space="preserve">Base £</t>
  </si>
  <si>
    <t xml:space="preserve">Nearest venue(s)</t>
  </si>
  <si>
    <t xml:space="preserve">Notes</t>
  </si>
  <si>
    <t xml:space="preserve">P01</t>
  </si>
  <si>
    <t xml:space="preserve">E14 8NT</t>
  </si>
  <si>
    <t xml:space="preserve">Canary Wharf</t>
  </si>
  <si>
    <t xml:space="preserve">Canary Wharf (Jubilee/Elizabeth)</t>
  </si>
  <si>
    <t xml:space="preserve">2-bed</t>
  </si>
  <si>
    <t xml:space="preserve">ExCeL 12 min · O2 9 min</t>
  </si>
  <si>
    <t xml:space="preserve">21st floor, lift to 20th, river + City view, balcony, no parking</t>
  </si>
  <si>
    <t xml:space="preserve">P02</t>
  </si>
  <si>
    <t xml:space="preserve">W10 6JE</t>
  </si>
  <si>
    <t xml:space="preserve">Ladbroke Grove</t>
  </si>
  <si>
    <t xml:space="preserve">1-bed</t>
  </si>
  <si>
    <t xml:space="preserve">Portobello Rd 5 min</t>
  </si>
  <si>
    <t xml:space="preserve">1st floor, new bathroom, new balcony, no lift, no parking</t>
  </si>
  <si>
    <t xml:space="preserve">P03</t>
  </si>
  <si>
    <t xml:space="preserve">W2 6HG</t>
  </si>
  <si>
    <t xml:space="preserve">Bayswater</t>
  </si>
  <si>
    <t xml:space="preserve">Bayswater / Paddington</t>
  </si>
  <si>
    <t xml:space="preserve">3-bed</t>
  </si>
  <si>
    <t xml:space="preserve">Paddington 5 min · Hyde Park</t>
  </si>
  <si>
    <t xml:space="preserve">3rd floor, lift, 1 bath + separate WC, no parking</t>
  </si>
  <si>
    <t xml:space="preserve">P04</t>
  </si>
  <si>
    <t xml:space="preserve">IG11 7ZH</t>
  </si>
  <si>
    <t xml:space="preserve">Barking</t>
  </si>
  <si>
    <t xml:space="preserve">ExCeL 12 min · O2 9 min [verify]</t>
  </si>
  <si>
    <t xml:space="preserve">5th floor, lift, balcony, Canary Wharf view, no parking</t>
  </si>
  <si>
    <t xml:space="preserve">P05</t>
  </si>
  <si>
    <t xml:space="preserve">NW8 9QE</t>
  </si>
  <si>
    <t xml:space="preserve">St John's Wood</t>
  </si>
  <si>
    <t xml:space="preserve">5-bed</t>
  </si>
  <si>
    <t xml:space="preserve">Abbey Road crossing · Lord's · Regent's Park</t>
  </si>
  <si>
    <t xml:space="preserve">1st-floor entry, over 4 floors, no lift, 2 bath + WC, no parking</t>
  </si>
  <si>
    <t xml:space="preserve">P06</t>
  </si>
  <si>
    <t xml:space="preserve">W1U 5AL</t>
  </si>
  <si>
    <t xml:space="preserve">Marylebone</t>
  </si>
  <si>
    <t xml:space="preserve">Baker Street</t>
  </si>
  <si>
    <t xml:space="preserve">Marylebone Village · Regent's Park · Oxford St</t>
  </si>
  <si>
    <t xml:space="preserve">2nd floor, no lift, no parking, street view</t>
  </si>
  <si>
    <t xml:space="preserve">P07</t>
  </si>
  <si>
    <t xml:space="preserve">SE18 6TL</t>
  </si>
  <si>
    <t xml:space="preserve">Woolwich</t>
  </si>
  <si>
    <t xml:space="preserve">Woolwich Arsenal (Elizabeth)</t>
  </si>
  <si>
    <t xml:space="preserve">Woolwich Works · O2 via Elizabeth line</t>
  </si>
  <si>
    <t xml:space="preserve">Ground floor, terrace, modern, by the river, no parking</t>
  </si>
  <si>
    <t xml:space="preserve">P08</t>
  </si>
  <si>
    <t xml:space="preserve">N1 2RF</t>
  </si>
  <si>
    <t xml:space="preserve">Islington</t>
  </si>
  <si>
    <t xml:space="preserve">Angel / Highbury &amp; Islington</t>
  </si>
  <si>
    <t xml:space="preserve">Upper St · Ally Pally 25 min · Emirates</t>
  </si>
  <si>
    <t xml:space="preserve">Ground floor, bedroom on 1st, terrace, no parking</t>
  </si>
  <si>
    <t xml:space="preserve">P09</t>
  </si>
  <si>
    <t xml:space="preserve">SE10 8EQ</t>
  </si>
  <si>
    <t xml:space="preserve">Greenwich</t>
  </si>
  <si>
    <t xml:space="preserve">Greenwich / Cutty Sark</t>
  </si>
  <si>
    <t xml:space="preserve">Greenwich village · O2 · Cutty Sark</t>
  </si>
  <si>
    <t xml:space="preserve">1st floor, lift, balcony, no parking</t>
  </si>
  <si>
    <t xml:space="preserve">P10</t>
  </si>
  <si>
    <t xml:space="preserve">W5 1AY</t>
  </si>
  <si>
    <t xml:space="preserve">Ealing / Hanger Lane</t>
  </si>
  <si>
    <t xml:space="preserve">Hanger Lane</t>
  </si>
  <si>
    <t xml:space="preserve">Wembley Stadium</t>
  </si>
  <si>
    <t xml:space="preserve">Ground floor, lift, modern, no parking</t>
  </si>
  <si>
    <t xml:space="preserve">P11</t>
  </si>
  <si>
    <t xml:space="preserve">NW1 9NN</t>
  </si>
  <si>
    <t xml:space="preserve">Camden</t>
  </si>
  <si>
    <t xml:space="preserve">Camden Road / Camden Town</t>
  </si>
  <si>
    <t xml:space="preserve">Camden Market · Roundhouse · KOKO</t>
  </si>
  <si>
    <t xml:space="preserve">Basement flat, patio, no lift, no parking</t>
  </si>
  <si>
    <t xml:space="preserve">P12</t>
  </si>
  <si>
    <t xml:space="preserve">E3 4RZ</t>
  </si>
  <si>
    <t xml:space="preserve">Mile End</t>
  </si>
  <si>
    <t xml:space="preserve">Victoria Park · Olympic Park</t>
  </si>
  <si>
    <t xml:space="preserve">4th floor, lift, balcony, Canary Wharf view, no parking</t>
  </si>
  <si>
    <t xml:space="preserve">P13</t>
  </si>
  <si>
    <t xml:space="preserve">W12 7BT</t>
  </si>
  <si>
    <t xml:space="preserve">Shepherd's Bush</t>
  </si>
  <si>
    <t xml:space="preserve">Westfield · Notting Hill · Loftus Rd</t>
  </si>
  <si>
    <t xml:space="preserve">4th floor, lift to 3rd, large terrace, no parking</t>
  </si>
  <si>
    <t xml:space="preserve">P14</t>
  </si>
  <si>
    <t xml:space="preserve">NW1 8XY</t>
  </si>
  <si>
    <t xml:space="preserve">Primrose Hill</t>
  </si>
  <si>
    <t xml:space="preserve">Chalk Farm / Camden Town</t>
  </si>
  <si>
    <t xml:space="preserve">Primrose Hill · Regent's Park · Zoo</t>
  </si>
  <si>
    <t xml:space="preserve">Ground-floor house over 4 floors, roof terrace, 1 parking space</t>
  </si>
  <si>
    <t xml:space="preserve">P15</t>
  </si>
  <si>
    <t xml:space="preserve">E3 3AN</t>
  </si>
  <si>
    <t xml:space="preserve">Bow / Devons Road</t>
  </si>
  <si>
    <t xml:space="preserve">Devons Road (DLR)</t>
  </si>
  <si>
    <t xml:space="preserve">Canary Wharf · Olympic Park</t>
  </si>
  <si>
    <t xml:space="preserve">2nd floor, lift, balcony, no parking</t>
  </si>
  <si>
    <t xml:space="preserve">P16</t>
  </si>
  <si>
    <t xml:space="preserve">W9 2PP</t>
  </si>
  <si>
    <t xml:space="preserve">Little Venice</t>
  </si>
  <si>
    <t xml:space="preserve">Warwick Avenue</t>
  </si>
  <si>
    <t xml:space="preserve">Little Venice · Paddington</t>
  </si>
  <si>
    <t xml:space="preserve">1st floor, no lift, no balcony, no parking</t>
  </si>
  <si>
    <t xml:space="preserve">P17</t>
  </si>
  <si>
    <t xml:space="preserve">NW8 7BB</t>
  </si>
  <si>
    <t xml:space="preserve">Lord's · Abbey Road · Regent's Park</t>
  </si>
  <si>
    <t xml:space="preserve">2nd floor, no lift, no balcony, no parking</t>
  </si>
  <si>
    <t xml:space="preserve">P18</t>
  </si>
  <si>
    <t xml:space="preserve">SW6 7BG</t>
  </si>
  <si>
    <t xml:space="preserve">Fulham</t>
  </si>
  <si>
    <t xml:space="preserve">Fulham Broadway</t>
  </si>
  <si>
    <t xml:space="preserve">Stamford Bridge · King's Rd</t>
  </si>
  <si>
    <t xml:space="preserve">1st floor, no lift, no parking</t>
  </si>
  <si>
    <t xml:space="preserve">P19</t>
  </si>
  <si>
    <t xml:space="preserve">WD4 8FY</t>
  </si>
  <si>
    <t xml:space="preserve">Kings Langley (Herts)</t>
  </si>
  <si>
    <t xml:space="preserve">Kings Langley</t>
  </si>
  <si>
    <t xml:space="preserve">Warner Bros. Studio Tour (Harry Potter) ~10 min</t>
  </si>
  <si>
    <t xml:space="preserve">4th floor, lift, parking, balcony, modern — outside Greater London</t>
  </si>
  <si>
    <t xml:space="preserve">Total sleeps →</t>
  </si>
  <si>
    <t xml:space="preserve">Avg base</t>
  </si>
  <si>
    <t xml:space="preserve">VENUE MAP — which properties to feature for which event</t>
  </si>
  <si>
    <t xml:space="preserve">Venue</t>
  </si>
  <si>
    <t xml:space="preserve">Best-placed properties (verify journey times)</t>
  </si>
  <si>
    <t xml:space="preserve">Twickenham</t>
  </si>
  <si>
    <t xml:space="preserve">P18 Fulham (~30 min via Clapham Jn) · P10 Hanger Lane (~35 min) · P13 Shepherd's Bush (~35 min) · P16 Little Venice (~40 min)</t>
  </si>
  <si>
    <t xml:space="preserve">Wembley</t>
  </si>
  <si>
    <t xml:space="preserve">P10 Hanger Lane (2 stops) · P13 Shepherd's Bush · P02 Ladbroke Grove</t>
  </si>
  <si>
    <t xml:space="preserve">The O2</t>
  </si>
  <si>
    <t xml:space="preserve">P01 Canary Wharf (9 min) · P09 Greenwich · P07 Woolwich (Elizabeth line) · P04 Barking</t>
  </si>
  <si>
    <t xml:space="preserve">ExCeL</t>
  </si>
  <si>
    <t xml:space="preserve">P01 Canary Wharf (12 min) · P04 Barking · P07 Woolwich · P15 Devons Rd</t>
  </si>
  <si>
    <t xml:space="preserve">Alexandra Palace</t>
  </si>
  <si>
    <t xml:space="preserve">P08 Islington (~25 min) · P11 Camden (~30 min)</t>
  </si>
  <si>
    <t xml:space="preserve">Regent's Park / Frieze</t>
  </si>
  <si>
    <t xml:space="preserve">P05 St John's Wood · P06 Marylebone · P14 Primrose Hill · P17 St John's Wood</t>
  </si>
  <si>
    <t xml:space="preserve">Hyde Park / Winter Wonderland</t>
  </si>
  <si>
    <t xml:space="preserve">P03 Bayswater · P16 Little Venice · P06 Marylebone</t>
  </si>
  <si>
    <t xml:space="preserve">Stamford Bridge</t>
  </si>
  <si>
    <t xml:space="preserve">P18 Fulham (walk)</t>
  </si>
  <si>
    <t xml:space="preserve">Emirates</t>
  </si>
  <si>
    <t xml:space="preserve">P08 Islington</t>
  </si>
  <si>
    <t xml:space="preserve">Harry Potter Studio Tour</t>
  </si>
  <si>
    <t xml:space="preserve">P19 Kings Langley (~10 min)</t>
  </si>
  <si>
    <t xml:space="preserve">Heathrow</t>
  </si>
  <si>
    <t xml:space="preserve">P10 Hanger Lane (Piccadilly) · P03 Bayswater (Elizabeth from Paddington) · P07/P01 via Elizabeth line</t>
  </si>
  <si>
    <t xml:space="preserve">BUSINESS FACTS the team writes from</t>
  </si>
  <si>
    <t xml:space="preserve">occupancy</t>
  </si>
  <si>
    <t xml:space="preserve">90%</t>
  </si>
  <si>
    <t xml:space="preserve">adr</t>
  </si>
  <si>
    <t xml:space="preserve">£290</t>
  </si>
  <si>
    <t xml:space="preserve">avg stay</t>
  </si>
  <si>
    <t xml:space="preserve">6 nights</t>
  </si>
  <si>
    <t xml:space="preserve">mix</t>
  </si>
  <si>
    <t xml:space="preserve">65% leisure / 20% family / 10% corporate / 5% long-stay</t>
  </si>
  <si>
    <t xml:space="preserve">direct discount</t>
  </si>
  <si>
    <t xml:space="preserve">10% vs OTA nightly rate</t>
  </si>
  <si>
    <t xml:space="preserve">min stay</t>
  </si>
  <si>
    <t xml:space="preserve">2–3 nights; 5 if booking 2+ months ahead; 7 if 4+ months</t>
  </si>
  <si>
    <t xml:space="preserve">reviews</t>
  </si>
  <si>
    <t xml:space="preserve">520 total · Airbnb 4.4 · Booking 8.9</t>
  </si>
  <si>
    <t xml:space="preserve">tone</t>
  </si>
  <si>
    <t xml:space="preserve">Professional. Premium. Reliable.</t>
  </si>
  <si>
    <t xml:space="preserve">never</t>
  </si>
  <si>
    <t xml:space="preserve">Never cheap or desperate · never argumentative · never misrepresent</t>
  </si>
  <si>
    <t xml:space="preserve">tagline</t>
  </si>
  <si>
    <t xml:space="preserve">Exceptional stays. Professionally managed.</t>
  </si>
  <si>
    <t xml:space="preserve">founder on camera</t>
  </si>
  <si>
    <t xml:space="preserve">NO — faceless brand; voiceover to be confirmed</t>
  </si>
  <si>
    <t xml:space="preserve">cleaners on camera</t>
  </si>
  <si>
    <t xml:space="preserve">None</t>
  </si>
  <si>
    <t xml:space="preserve">booking engine</t>
  </si>
  <si>
    <t xml:space="preserve">Smoobu</t>
  </si>
  <si>
    <t xml:space="preserve">Asset Requests — what the team needs you to capture</t>
  </si>
  <si>
    <t xml:space="preserve">Everything the content engine needs. Nothing here requires a professional. A phone, daylight and a steady hand cover 90% of it.</t>
  </si>
  <si>
    <t xml:space="preserve">Priority</t>
  </si>
  <si>
    <t xml:space="preserve">Capture run</t>
  </si>
  <si>
    <t xml:space="preserve">What to shoot</t>
  </si>
  <si>
    <t xml:space="preserve">How to shoot it</t>
  </si>
  <si>
    <t xml:space="preserve">Kit</t>
  </si>
  <si>
    <t xml:space="preserve">Time needed</t>
  </si>
  <si>
    <t xml:space="preserve">Feeds which posts</t>
  </si>
  <si>
    <t xml:space="preserve">Who</t>
  </si>
  <si>
    <t xml:space="preserve">Due</t>
  </si>
  <si>
    <t xml:space="preserve">Done?</t>
  </si>
  <si>
    <t xml:space="preserve">F01</t>
  </si>
  <si>
    <t xml:space="preserve">CRITICAL</t>
  </si>
  <si>
    <t xml:space="preserve">Foundation shoot (wk 1)</t>
  </si>
  <si>
    <t xml:space="preserve">DONE per Corentin — Full photo + video set of the flagship flat (P01 Canary Wharf?)</t>
  </si>
  <si>
    <t xml:space="preserve">Daylight only, curtains open, lights off. Every room from the doorway corner. Then 8-10 video clips of 3-5s: kettle boiling, door opening, bed made, window view, kitchen worktop, shower running, key in lock, sofa.</t>
  </si>
  <si>
    <t xml:space="preserve">Phone, tripod optional</t>
  </si>
  <si>
    <t xml:space="preserve">3 hrs</t>
  </si>
  <si>
    <t xml:space="preserve">Multiple STAY posts, hotel comparison</t>
  </si>
  <si>
    <t xml:space="preserve">Ops / you</t>
  </si>
  <si>
    <t xml:space="preserve">2026-09-14</t>
  </si>
  <si>
    <t xml:space="preserve">F02</t>
  </si>
  <si>
    <t xml:space="preserve">HIGH</t>
  </si>
  <si>
    <t xml:space="preserve">Founder VOICEOVER — 6 audio clips, voice only (no face)</t>
  </si>
  <si>
    <t xml:space="preserve">Record on the phone in a quiet room, 15-25s each: what Seeker is, why you started, what a turnover involves, what you fixed after a bad review. Or confirm text-only and skip.</t>
  </si>
  <si>
    <t xml:space="preserve">Phone voice memo</t>
  </si>
  <si>
    <t xml:space="preserve">30 min</t>
  </si>
  <si>
    <t xml:space="preserve">Launch post, HUMAN slot, PROOF responses</t>
  </si>
  <si>
    <t xml:space="preserve">You</t>
  </si>
  <si>
    <t xml:space="preserve">F03</t>
  </si>
  <si>
    <t xml:space="preserve">DONE per Corentin — One complete turnover, filmed start to finish</t>
  </si>
  <si>
    <t xml:space="preserve">15-20 clips of 3-5s AND one continuous unedited take of a single room. No music, real sound. Unglamorous is the point.</t>
  </si>
  <si>
    <t xml:space="preserve">Phone</t>
  </si>
  <si>
    <t xml:space="preserve">2 hrs</t>
  </si>
  <si>
    <t xml:space="preserve">PROOF posts 17 Sep, 29 Oct</t>
  </si>
  <si>
    <t xml:space="preserve">Cleaning team + you</t>
  </si>
  <si>
    <t xml:space="preserve">2026-09-16</t>
  </si>
  <si>
    <t xml:space="preserve">F04</t>
  </si>
  <si>
    <t xml:space="preserve">Brand title card + on-screen text template</t>
  </si>
  <si>
    <t xml:space="preserve">Not filming — a designed 2s intro card reading LONDON THIS WEEK, plus a lower-third text style. Same every week.</t>
  </si>
  <si>
    <t xml:space="preserve">Canva / designer</t>
  </si>
  <si>
    <t xml:space="preserve">1 hr</t>
  </si>
  <si>
    <t xml:space="preserve">All 13 weekly anchor posts</t>
  </si>
  <si>
    <t xml:space="preserve">Design</t>
  </si>
  <si>
    <t xml:space="preserve">2026-09-13</t>
  </si>
  <si>
    <t xml:space="preserve">F05</t>
  </si>
  <si>
    <t xml:space="preserve">Timed walk: flagship flat → nearest station → the venue</t>
  </si>
  <si>
    <t xml:space="preserve">ONE continuous take, no cuts, phone held steady at chest height. Speed up 4x in edit, timer overlay. This is your signature format.</t>
  </si>
  <si>
    <t xml:space="preserve">Phone, gimbal helps</t>
  </si>
  <si>
    <t xml:space="preserve">45 min</t>
  </si>
  <si>
    <t xml:space="preserve">STAY 29 Sep (ExCeL)</t>
  </si>
  <si>
    <t xml:space="preserve">Ops</t>
  </si>
  <si>
    <t xml:space="preserve">2026-09-25</t>
  </si>
  <si>
    <t xml:space="preserve">F06</t>
  </si>
  <si>
    <t xml:space="preserve">Linen store / stock cupboard</t>
  </si>
  <si>
    <t xml:space="preserve">One clip, doors open, count out loud. Show the systems: labels, rotation, spares.</t>
  </si>
  <si>
    <t xml:space="preserve">15 min</t>
  </si>
  <si>
    <t xml:space="preserve">PROOF 12 Nov</t>
  </si>
  <si>
    <t xml:space="preserve">2026-10-30</t>
  </si>
  <si>
    <t xml:space="preserve">F07</t>
  </si>
  <si>
    <t xml:space="preserve">MEDIUM</t>
  </si>
  <si>
    <t xml:space="preserve">Photo sets for 4 more properties at 4 price points</t>
  </si>
  <si>
    <t xml:space="preserve">Same method as F01 but lighter — 12 stills + 4 clips each. Studio / 1-bed / 2-bed / large.</t>
  </si>
  <si>
    <t xml:space="preserve">4 hrs (spread)</t>
  </si>
  <si>
    <t xml:space="preserve">STAY 17 Oct 'pick one'</t>
  </si>
  <si>
    <t xml:space="preserve">2026-10-10</t>
  </si>
  <si>
    <t xml:space="preserve">F08</t>
  </si>
  <si>
    <t xml:space="preserve">Property set: one large flat shot AS A GROUP SPACE</t>
  </si>
  <si>
    <t xml:space="preserve">Table laid for 6, sofa with people on it, kitchen in use. Needs 2-3 friendly humans in frame. Very different from an empty-flat shoot.</t>
  </si>
  <si>
    <t xml:space="preserve">Phone + 3 people</t>
  </si>
  <si>
    <t xml:space="preserve">1.5 hrs</t>
  </si>
  <si>
    <t xml:space="preserve">STAY 1 Dec group booking post</t>
  </si>
  <si>
    <t xml:space="preserve">2026-11-25</t>
  </si>
  <si>
    <t xml:space="preserve">F09</t>
  </si>
  <si>
    <t xml:space="preserve">Guest-places run</t>
  </si>
  <si>
    <t xml:space="preserve">The six places guests mention most in reviews — exteriors and a detail each</t>
  </si>
  <si>
    <t xml:space="preserve">Pulled from the review export (D02). Film each spot for 2-3 min. Replaces the cleaners-on-camera idea.</t>
  </si>
  <si>
    <t xml:space="preserve">PROOF 1 Oct</t>
  </si>
  <si>
    <t xml:space="preserve">Anyone</t>
  </si>
  <si>
    <t xml:space="preserve">2026-09-28</t>
  </si>
  <si>
    <t xml:space="preserve">L01</t>
  </si>
  <si>
    <t xml:space="preserve">London B-roll run A</t>
  </si>
  <si>
    <t xml:space="preserve">Generic London: tube platform, escalator, black cab, red bus, Thames, terrace street, rain on a window, a kettle, keys</t>
  </si>
  <si>
    <t xml:space="preserve">20-30 clips of 3-5s. Shoot on one 2-hour walk. This is your filler library and you will use it constantly.</t>
  </si>
  <si>
    <t xml:space="preserve">Almost every post</t>
  </si>
  <si>
    <t xml:space="preserve">2026-09-18</t>
  </si>
  <si>
    <t xml:space="preserve">L02</t>
  </si>
  <si>
    <t xml:space="preserve">London B-roll run B</t>
  </si>
  <si>
    <t xml:space="preserve">Heathrow arrivals, luggage storage, Piccadilly line, an early-opening café</t>
  </si>
  <si>
    <t xml:space="preserve">For the 6am-landing post. Genuinely go at 6am — the light and the emptiness are the story.</t>
  </si>
  <si>
    <t xml:space="preserve">PRACTICAL 22 Sep</t>
  </si>
  <si>
    <t xml:space="preserve">2026-09-20</t>
  </si>
  <si>
    <t xml:space="preserve">L03</t>
  </si>
  <si>
    <t xml:space="preserve">Venue exteriors set 1</t>
  </si>
  <si>
    <t xml:space="preserve">ExCeL, The O2 / North Greenwich, Wembley Stadium + Wembley Way, Twickenham + the walk from the station</t>
  </si>
  <si>
    <t xml:space="preserve">3-5 clips each. One Saturday covers O2 + ExCeL; a second covers Wembley + Twickenham.</t>
  </si>
  <si>
    <t xml:space="preserve">2 x 3 hrs</t>
  </si>
  <si>
    <t xml:space="preserve">Every event-tied post Sep-Dec</t>
  </si>
  <si>
    <t xml:space="preserve">2026-09-27</t>
  </si>
  <si>
    <t xml:space="preserve">L04</t>
  </si>
  <si>
    <t xml:space="preserve">Venue exteriors set 2</t>
  </si>
  <si>
    <t xml:space="preserve">Alexandra Palace, Regent's Park, Trafalgar Square, Hyde Park Corner</t>
  </si>
  <si>
    <t xml:space="preserve">For darts, Frieze, Diwali and Winter Wonderland posts.</t>
  </si>
  <si>
    <t xml:space="preserve">LONDON posts Oct-Dec</t>
  </si>
  <si>
    <t xml:space="preserve">2026-10-08</t>
  </si>
  <si>
    <t xml:space="preserve">L05</t>
  </si>
  <si>
    <t xml:space="preserve">Timed journeys</t>
  </si>
  <si>
    <t xml:space="preserve">Waterloo→Twickenham, and North Greenwich→O2, both filmed as one continuous journey</t>
  </si>
  <si>
    <t xml:space="preserve">Same signature format as F05. Film the actual train, the actual walk. Timer added in edit.</t>
  </si>
  <si>
    <t xml:space="preserve">2 x 1.5 hrs</t>
  </si>
  <si>
    <t xml:space="preserve">LONDON 21 Nov, STAY 10 Nov</t>
  </si>
  <si>
    <t xml:space="preserve">2026-11-05</t>
  </si>
  <si>
    <t xml:space="preserve">L06</t>
  </si>
  <si>
    <t xml:space="preserve">Free museums run</t>
  </si>
  <si>
    <t xml:space="preserve">Sir John Soane's, Wellcome Collection, Hunterian, Foundling, Leighton House, Garden Museum</t>
  </si>
  <si>
    <t xml:space="preserve">Check each one's filming policy at the desk first — several restrict it. Exteriors always work.</t>
  </si>
  <si>
    <t xml:space="preserve">4 hrs (2 trips)</t>
  </si>
  <si>
    <t xml:space="preserve">LONDON 10 Oct</t>
  </si>
  <si>
    <t xml:space="preserve">2026-10-06</t>
  </si>
  <si>
    <t xml:space="preserve">L07</t>
  </si>
  <si>
    <t xml:space="preserve">Wembley food run</t>
  </si>
  <si>
    <t xml:space="preserve">5 places to eat within 12 min walk of Wembley Park</t>
  </si>
  <si>
    <t xml:space="preserve">Shoot the food, the frontage and the walk. Note real prices.</t>
  </si>
  <si>
    <t xml:space="preserve">LONDON 26 Sep</t>
  </si>
  <si>
    <t xml:space="preserve">2026-09-24</t>
  </si>
  <si>
    <t xml:space="preserve">L08</t>
  </si>
  <si>
    <t xml:space="preserve">Twickenham matchday run</t>
  </si>
  <si>
    <t xml:space="preserve">Pubs that take away fans, the station, the walk, the queue</t>
  </si>
  <si>
    <t xml:space="preserve">Best filmed ON a matchday — 8 Nov works. Ask permission inside pubs.</t>
  </si>
  <si>
    <t xml:space="preserve">LONDON 7 Nov + all rugby dates</t>
  </si>
  <si>
    <t xml:space="preserve">2026-11-08</t>
  </si>
  <si>
    <t xml:space="preserve">S01</t>
  </si>
  <si>
    <t xml:space="preserve">Seasonal — Oct</t>
  </si>
  <si>
    <t xml:space="preserve">Frieze Sculpture in Regent's Park + Mayfair gallery fronts</t>
  </si>
  <si>
    <t xml:space="preserve">Free and public. Must be shot 14-18 Oct — it does not exist after that.</t>
  </si>
  <si>
    <t xml:space="preserve">LONDON 13 Oct</t>
  </si>
  <si>
    <t xml:space="preserve">2026-10-15</t>
  </si>
  <si>
    <t xml:space="preserve">S02</t>
  </si>
  <si>
    <t xml:space="preserve">Seasonal — Nov</t>
  </si>
  <si>
    <t xml:space="preserve">Winter Wonderland: entrances, queues, rides, food, the Hyde Park Corner exit</t>
  </si>
  <si>
    <t xml:space="preserve">Go on OPENING WEEKEND (19-22 Nov) so the content runs for the full 46 days. Check their filming rules.</t>
  </si>
  <si>
    <t xml:space="preserve">PRACTICAL 17 Nov</t>
  </si>
  <si>
    <t xml:space="preserve">2026-11-21</t>
  </si>
  <si>
    <t xml:space="preserve">S03</t>
  </si>
  <si>
    <t xml:space="preserve">Bonfire night displays + the walk home from one</t>
  </si>
  <si>
    <t xml:space="preserve">5 Nov only. Night footage — brace the phone against something solid.</t>
  </si>
  <si>
    <t xml:space="preserve">LONDON 3 Nov (shoot 2025 or stock for the 3rd, real for follow-ups)</t>
  </si>
  <si>
    <t xml:space="preserve">S04</t>
  </si>
  <si>
    <t xml:space="preserve">Seasonal — Dec</t>
  </si>
  <si>
    <t xml:space="preserve">Ten Christmas markets</t>
  </si>
  <si>
    <t xml:space="preserve">One weekend covers most of them. Shoot the crowds and the prices, not just the lights.</t>
  </si>
  <si>
    <t xml:space="preserve">5 hrs</t>
  </si>
  <si>
    <t xml:space="preserve">LONDON 5 Dec</t>
  </si>
  <si>
    <t xml:space="preserve">2026-12-03</t>
  </si>
  <si>
    <t xml:space="preserve">S05</t>
  </si>
  <si>
    <t xml:space="preserve">Nations Championship weekend at Twickenham, filmed live</t>
  </si>
  <si>
    <t xml:space="preserve">27-29 Nov. Crowds, flags, atmosphere. Post SAME DAY.</t>
  </si>
  <si>
    <t xml:space="preserve">LONDON 28 Nov</t>
  </si>
  <si>
    <t xml:space="preserve">2026-11-28</t>
  </si>
  <si>
    <t xml:space="preserve">D01</t>
  </si>
  <si>
    <t xml:space="preserve">Documents</t>
  </si>
  <si>
    <t xml:space="preserve">Your real cost-per-property breakdown (every line item)</t>
  </si>
  <si>
    <t xml:space="preserve">A spreadsheet: cleaning, linen, utilities, wifi, insurance, OTA commission, void allowance, restocking, management, licensing.</t>
  </si>
  <si>
    <t xml:space="preserve">-</t>
  </si>
  <si>
    <t xml:space="preserve">LANDLORD 11 Nov, 30 Sep</t>
  </si>
  <si>
    <t xml:space="preserve">D02</t>
  </si>
  <si>
    <t xml:space="preserve">Export of every guest review, all platforms, last 12 months</t>
  </si>
  <si>
    <t xml:space="preserve">CSV or screenshots. Needed for the monthly review posts and the 'we fixed it' format. Include the bad ones — especially the bad ones.</t>
  </si>
  <si>
    <t xml:space="preserve">All PROOF posts</t>
  </si>
  <si>
    <t xml:space="preserve">D03</t>
  </si>
  <si>
    <t xml:space="preserve">Your standard management agreement</t>
  </si>
  <si>
    <t xml:space="preserve">So the team can write the '6 clauses to check' post honestly against your own contract.</t>
  </si>
  <si>
    <t xml:space="preserve">LANDLORD 25 Nov</t>
  </si>
  <si>
    <t xml:space="preserve">2026-11-18</t>
  </si>
  <si>
    <t xml:space="preserve">D04</t>
  </si>
  <si>
    <t xml:space="preserve">A real hotel comparison — screenshot 3 comparable hotels + your rate, same dates</t>
  </si>
  <si>
    <t xml:space="preserve">Must be checkable and dated. Never invent these numbers.</t>
  </si>
  <si>
    <t xml:space="preserve">STAY 15 Sep, 27 Oct</t>
  </si>
  <si>
    <t xml:space="preserve">D05</t>
  </si>
  <si>
    <t xml:space="preserve">RECEIVED 10 Sep — Property list (19 properties)</t>
  </si>
  <si>
    <t xml:space="preserve">Now in the Properties tab. Still needed: which is the flagship, and a Drive/Dropbox link to the existing 2026 photo sets.</t>
  </si>
  <si>
    <t xml:space="preserve">Everything</t>
  </si>
  <si>
    <t xml:space="preserve">2026-09-12</t>
  </si>
  <si>
    <t xml:space="preserve">D06</t>
  </si>
  <si>
    <t xml:space="preserve">A property you turned down, and why</t>
  </si>
  <si>
    <t xml:space="preserve">For the LANDLORD 4 Nov post. Real case, anonymised.</t>
  </si>
  <si>
    <t xml:space="preserve">20 min</t>
  </si>
  <si>
    <t xml:space="preserve">LANDLORD 4 Nov</t>
  </si>
  <si>
    <t xml:space="preserve">2026-10-28</t>
  </si>
  <si>
    <t xml:space="preserve">D07</t>
  </si>
  <si>
    <t xml:space="preserve">Permissions</t>
  </si>
  <si>
    <t xml:space="preserve">Written permission from one guest to tell their story</t>
  </si>
  <si>
    <t xml:space="preserve">Ask a happy long-stay guest. Offer something — a discount on their next stay.</t>
  </si>
  <si>
    <t xml:space="preserve">PROOF 5 Nov</t>
  </si>
  <si>
    <t xml:space="preserve">2026-10-29</t>
  </si>
  <si>
    <t xml:space="preserve">D10</t>
  </si>
  <si>
    <t xml:space="preserve">Accounts</t>
  </si>
  <si>
    <t xml:space="preserve">Create a Facebook Page, convert Instagram to Business, link the two, connect Facebook in Metricool</t>
  </si>
  <si>
    <t xml:space="preserve">Facebook Page: facebook.com/pages/create (5 min). Then Instagram → Settings → Account type → Business → link to the Page. Then Metricool → Connections → Facebook. Without the Page, Instagram auto-publishing and the whole Facebook channel are blocked.</t>
  </si>
  <si>
    <t xml:space="preserve">All scheduled publishing</t>
  </si>
  <si>
    <t xml:space="preserve">D11</t>
  </si>
  <si>
    <t xml:space="preserve">Smoobu direct-booking page URL</t>
  </si>
  <si>
    <t xml:space="preserve">seekerestates.com is a real-estate homepage, not a booking page. Every 'book direct, 10% off' CTA needs a link that lands on availability. Smoobu provides a hosted booking page — send its URL.</t>
  </si>
  <si>
    <t xml:space="preserve">5 min</t>
  </si>
  <si>
    <t xml:space="preserve">Every CTA</t>
  </si>
  <si>
    <t xml:space="preserve">D12</t>
  </si>
  <si>
    <t xml:space="preserve">Compliance</t>
  </si>
  <si>
    <t xml:space="preserve">Written answer to the four compliance flags (90-night basis, insurance, licences, redress)</t>
  </si>
  <si>
    <t xml:space="preserve">See the message of 10 Sep. The Wednesday landlord track cannot claim anything about Seeker's own compliance until these are answered, and the 90-night post is on hold.</t>
  </si>
  <si>
    <t xml:space="preserve">All 13 LANDLORD posts</t>
  </si>
  <si>
    <t xml:space="preserve">D08</t>
  </si>
  <si>
    <t xml:space="preserve">Brand</t>
  </si>
  <si>
    <t xml:space="preserve">RECEIVED logo (PNG on gradient background). Still needed: a version on transparent background, or approval for us to cut one</t>
  </si>
  <si>
    <t xml:space="preserve">Navy #0B1F35 extracted from the logo. Fonts: none chosen — we will propose a pairing. Tagline confirmed: Exceptional stays. Professionally managed.</t>
  </si>
  <si>
    <t xml:space="preserve">Every post</t>
  </si>
  <si>
    <t xml:space="preserve">Critical items outstanding</t>
  </si>
  <si>
    <t xml:space="preserve">Total shoot hours requested</t>
  </si>
  <si>
    <t xml:space="preserve">~48 hrs across 13 weeks ≈ 3.7 hrs/week</t>
  </si>
  <si>
    <t xml:space="preserve">The weekly rhythm</t>
  </si>
  <si>
    <t xml:space="preserve">Five posts a week. The same five slots, every week. Consistency of SLOT is what builds a habit in the audience — the content varies, the shape never does.</t>
  </si>
  <si>
    <t xml:space="preserve">Slot name</t>
  </si>
  <si>
    <t xml:space="preserve">What it is</t>
  </si>
  <si>
    <t xml:space="preserve">Why it exists</t>
  </si>
  <si>
    <t xml:space="preserve">Non-negotiable rule</t>
  </si>
  <si>
    <t xml:space="preserve">MONDAY</t>
  </si>
  <si>
    <t xml:space="preserve">LONDON THIS WEEK</t>
  </si>
  <si>
    <t xml:space="preserve">The week's events in 30 seconds, with tube stops. Same title card, same music, every single Monday.</t>
  </si>
  <si>
    <t xml:space="preserve">This is the show. It's the reason someone follows an accommodation company they have no intention of booking with yet. It also does the heavy lifting on reach, which everything else borrows from.</t>
  </si>
  <si>
    <t xml:space="preserve">IG + FB + TikTok</t>
  </si>
  <si>
    <t xml:space="preserve">Never skip it. A missed Monday costs more than a bad Monday.</t>
  </si>
  <si>
    <t xml:space="preserve">TUESDAY</t>
  </si>
  <si>
    <t xml:space="preserve">THE PRODUCT</t>
  </si>
  <si>
    <t xml:space="preserve">STAY / PRACTICAL</t>
  </si>
  <si>
    <t xml:space="preserve">Either a property (tours, comparisons, timed walks) or a genuinely useful London how-to.</t>
  </si>
  <si>
    <t xml:space="preserve">The only slot that sells directly. Alternating it with pure utility stops the feed becoming a property listing, which is the failure mode that kills these accounts.</t>
  </si>
  <si>
    <t xml:space="preserve">Never two property posts in consecutive Tuesdays.</t>
  </si>
  <si>
    <t xml:space="preserve">WEDNESDAY</t>
  </si>
  <si>
    <t xml:space="preserve">LANDLORD DAY</t>
  </si>
  <si>
    <t xml:space="preserve">Regulation, economics, and honest advice for London landlords. No pitch.</t>
  </si>
  <si>
    <t xml:space="preserve">The second business objective gets its own protected slot so it never competes with guest content for space. 13 weeks of this makes you the account London landlords check.</t>
  </si>
  <si>
    <t xml:space="preserve">IG + FB (skip TikTok)</t>
  </si>
  <si>
    <t xml:space="preserve">Education only. The CTA is a save or a DM, never a sales line.</t>
  </si>
  <si>
    <t xml:space="preserve">THURSDAY</t>
  </si>
  <si>
    <t xml:space="preserve">Reviews (including bad ones), the turnover, the systems, guest stories, what you fixed.</t>
  </si>
  <si>
    <t xml:space="preserve">Short-lets have a trust problem — travellers genuinely fear the listing is fake or filthy. Showing the boring reality answers that better than any five-star screenshot.</t>
  </si>
  <si>
    <t xml:space="preserve">Publish at least one unflattering thing a month. That's the whole mechanism.</t>
  </si>
  <si>
    <t xml:space="preserve">SATURDAY</t>
  </si>
  <si>
    <t xml:space="preserve">DISCOVER</t>
  </si>
  <si>
    <t xml:space="preserve">Hidden gems, weekend plans, free things, honest rankings, what's open.</t>
  </si>
  <si>
    <t xml:space="preserve">Saturday is when people plan. This is the most shareable slot — content that gets sent into a group chat, which is the highest-value share there is.</t>
  </si>
  <si>
    <t xml:space="preserve">IG + TikTok</t>
  </si>
  <si>
    <t xml:space="preserve">Post by 8am. A Saturday post at 4pm has missed the plan.</t>
  </si>
  <si>
    <t xml:space="preserve">FRI + SUN</t>
  </si>
  <si>
    <t xml:space="preserve">STORIES ONLY</t>
  </si>
  <si>
    <t xml:space="preserve">No feed post. Stories: polls, behind-the-scenes, resharing guest content, answering DMs publicly.</t>
  </si>
  <si>
    <t xml:space="preserve">Two rest days protects quality on the other five and stops the account feeling like a broadcast.</t>
  </si>
  <si>
    <t xml:space="preserve">Stories</t>
  </si>
  <si>
    <t xml:space="preserve">No feed posts. Protect the rhythm.</t>
  </si>
  <si>
    <t xml:space="preserve">MONTHLY</t>
  </si>
  <si>
    <t xml:space="preserve">THE HUMAN ONE</t>
  </si>
  <si>
    <t xml:space="preserve">Founder story, the team, why you do this, what went wrong.</t>
  </si>
  <si>
    <t xml:space="preserve">People book from people, and landlords hand over £600k assets to people. Roughly one a month, dropped into any slot.</t>
  </si>
  <si>
    <t xml:space="preserve">Keep the failures in. The failure is the interesting part.</t>
  </si>
  <si>
    <t xml:space="preserve">THE SIX PILLARS</t>
  </si>
  <si>
    <t xml:space="preserve">Share</t>
  </si>
  <si>
    <t xml:space="preserve">What it covers</t>
  </si>
  <si>
    <t xml:space="preserve">The job it does</t>
  </si>
  <si>
    <t xml:space="preserve">Failure mode if you overdo it</t>
  </si>
  <si>
    <t xml:space="preserve">43%</t>
  </si>
  <si>
    <t xml:space="preserve">Events, neighbourhoods, hidden gems, what's on, free things, honest rankings</t>
  </si>
  <si>
    <t xml:space="preserve">Reach. This is what strangers find, follow and share. It is the top of everything.</t>
  </si>
  <si>
    <t xml:space="preserve">None, really — this is the safe one to over-index on.</t>
  </si>
  <si>
    <t xml:space="preserve">19%</t>
  </si>
  <si>
    <t xml:space="preserve">Regulation, economics, contracts, what to check, market data</t>
  </si>
  <si>
    <t xml:space="preserve">The second revenue line. Landlord acquisition is worth far more per conversion than a booking.</t>
  </si>
  <si>
    <t xml:space="preserve">Guest audience tunes out. Solved by keeping it to Wednesdays.</t>
  </si>
  <si>
    <t xml:space="preserve">18%</t>
  </si>
  <si>
    <t xml:space="preserve">Reviews, turnovers, systems, guest stories, fixes, transparency</t>
  </si>
  <si>
    <t xml:space="preserve">Trust. Converts the people reach brought you.</t>
  </si>
  <si>
    <t xml:space="preserve">Starts to feel defensive. Keep it factual, not pleading.</t>
  </si>
  <si>
    <t xml:space="preserve">13%</t>
  </si>
  <si>
    <t xml:space="preserve">Property tours, comparisons, timed walks, availability</t>
  </si>
  <si>
    <t xml:space="preserve">Sells. The direct-response pillar.</t>
  </si>
  <si>
    <t xml:space="preserve">THE killer. An account that is mostly its own properties is an advert, and adverts don't get followed. Hard-capped at ~1 in 7 posts.</t>
  </si>
  <si>
    <t xml:space="preserve">4%</t>
  </si>
  <si>
    <t xml:space="preserve">How-tos, guides, problem-solvers, the 6am Heathrow post</t>
  </si>
  <si>
    <t xml:space="preserve">Saves and long-tail reach. These posts earn for years.</t>
  </si>
  <si>
    <t xml:space="preserve">Can drift off-brand into generic travel content. Keep London-specific.</t>
  </si>
  <si>
    <t xml:space="preserve">3%</t>
  </si>
  <si>
    <t xml:space="preserve">Founder, team, story, mistakes</t>
  </si>
  <si>
    <t xml:space="preserve">Makes the brand a person. Disproportionately important for landlord conversion.</t>
  </si>
  <si>
    <t xml:space="preserve">Becomes self-indulgent. Once a month is plenty.</t>
  </si>
  <si>
    <t xml:space="preserve">THE APPROVAL LOOP — how a post gets from idea to published</t>
  </si>
  <si>
    <t xml:space="preserve">Step</t>
  </si>
  <si>
    <t xml:space="preserve">What happens</t>
  </si>
  <si>
    <t xml:space="preserve">Time</t>
  </si>
  <si>
    <t xml:space="preserve">Rule</t>
  </si>
  <si>
    <t xml:space="preserve">1</t>
  </si>
  <si>
    <t xml:space="preserve">Content agent</t>
  </si>
  <si>
    <t xml:space="preserve">Drafts the week's five posts from the calendar: hook, script, caption, hashtags, CTA, and the asset list each one needs.</t>
  </si>
  <si>
    <t xml:space="preserve">Fri, 30 min</t>
  </si>
  <si>
    <t xml:space="preserve">Drafts a full week at once, never one post at a time.</t>
  </si>
  <si>
    <t xml:space="preserve">2</t>
  </si>
  <si>
    <t xml:space="preserve">You (Corentin)</t>
  </si>
  <si>
    <t xml:space="preserve">Read the five. Approve, kill or send back. Nothing goes out unapproved.</t>
  </si>
  <si>
    <t xml:space="preserve">Fri, 15 min</t>
  </si>
  <si>
    <t xml:space="preserve">This is the ONLY human gate. Don't add more.</t>
  </si>
  <si>
    <t xml:space="preserve">3</t>
  </si>
  <si>
    <t xml:space="preserve">Whoever's shooting</t>
  </si>
  <si>
    <t xml:space="preserve">Captures the week's assets from the Asset Requests tab.</t>
  </si>
  <si>
    <t xml:space="preserve">Sat/Sun, ~3 hrs</t>
  </si>
  <si>
    <t xml:space="preserve">Shoot for the week ahead, never the week you're in.</t>
  </si>
  <si>
    <t xml:space="preserve">4</t>
  </si>
  <si>
    <t xml:space="preserve">Assembles, schedules to Metricool for Mon-Sat.</t>
  </si>
  <si>
    <t xml:space="preserve">Sun, 20 min</t>
  </si>
  <si>
    <t xml:space="preserve">IG + FB publish automatically. TikTok lands as a draft — someone taps publish.</t>
  </si>
  <si>
    <t xml:space="preserve">5</t>
  </si>
  <si>
    <t xml:space="preserve">You or ops</t>
  </si>
  <si>
    <t xml:space="preserve">Reply to every comment in the first 30 minutes after each post.</t>
  </si>
  <si>
    <t xml:space="preserve">5 min x 5</t>
  </si>
  <si>
    <t xml:space="preserve">The cheapest reach lever that exists. Non-negotiable.</t>
  </si>
  <si>
    <t xml:space="preserve">6</t>
  </si>
  <si>
    <t xml:space="preserve">Analytics agent</t>
  </si>
  <si>
    <t xml:space="preserve">Monday morning: last week's numbers, what worked, what to change.</t>
  </si>
  <si>
    <t xml:space="preserve">Mon, auto</t>
  </si>
  <si>
    <t xml:space="preserve">Feeds next Friday's drafting. This is the loop closing.</t>
  </si>
  <si>
    <t xml:space="preserve">Weekly Tracker</t>
  </si>
  <si>
    <t xml:space="preserve">Fill the yellow cells every Monday for the week just gone. Everything else calculates. Track landlord enquiries SEPARATELY — never blend them into guest numbers.</t>
  </si>
  <si>
    <t xml:space="preserve">Week</t>
  </si>
  <si>
    <t xml:space="preserve">W/C</t>
  </si>
  <si>
    <t xml:space="preserve">Posts published</t>
  </si>
  <si>
    <t xml:space="preserve">Total reach</t>
  </si>
  <si>
    <t xml:space="preserve">% reach from non-followers</t>
  </si>
  <si>
    <t xml:space="preserve">New followers</t>
  </si>
  <si>
    <t xml:space="preserve">Shares</t>
  </si>
  <si>
    <t xml:space="preserve">Profile visits</t>
  </si>
  <si>
    <t xml:space="preserve">Link clicks</t>
  </si>
  <si>
    <t xml:space="preserve">Guest enquiries</t>
  </si>
  <si>
    <t xml:space="preserve">Bookings from social</t>
  </si>
  <si>
    <t xml:space="preserve">Landlord enquiries</t>
  </si>
  <si>
    <t xml:space="preserve">Landlord calls booked</t>
  </si>
  <si>
    <t xml:space="preserve">Notes / what worked</t>
  </si>
  <si>
    <t xml:space="preserve">DERIVED — the numbers that actually matter</t>
  </si>
  <si>
    <t xml:space="preserve">Metric</t>
  </si>
  <si>
    <t xml:space="preserve">Value</t>
  </si>
  <si>
    <t xml:space="preserve">What good looks like at 90 days</t>
  </si>
  <si>
    <t xml:space="preserve">Why</t>
  </si>
  <si>
    <t xml:space="preserve">Avg reach per post</t>
  </si>
  <si>
    <t xml:space="preserve">3,000–8,000 for a new local account</t>
  </si>
  <si>
    <t xml:space="preserve">Reach per post is the only honest measure of whether the content is working. Follower count lags it by months.</t>
  </si>
  <si>
    <t xml:space="preserve">Save rate (saves ÷ reach)</t>
  </si>
  <si>
    <t xml:space="preserve">Above 1.5% is strong</t>
  </si>
  <si>
    <t xml:space="preserve">Saves are the strongest quality signal on both IG and TikTok. Chase this, not likes.</t>
  </si>
  <si>
    <t xml:space="preserve">Share rate (shares ÷ reach)</t>
  </si>
  <si>
    <t xml:space="preserve">Above 0.8% is strong</t>
  </si>
  <si>
    <t xml:space="preserve">A share is someone putting their own reputation behind your post. It's the highest-value action there is.</t>
  </si>
  <si>
    <t xml:space="preserve">Profile visit rate</t>
  </si>
  <si>
    <t xml:space="preserve">Above 2%</t>
  </si>
  <si>
    <t xml:space="preserve">Measures whether the content makes people curious about who made it. Low = content is good but brand is invisible.</t>
  </si>
  <si>
    <t xml:space="preserve">Link click-through</t>
  </si>
  <si>
    <t xml:space="preserve">Above 8% of profile visits</t>
  </si>
  <si>
    <t xml:space="preserve">Tests the bio and the landing page, not the content.</t>
  </si>
  <si>
    <t xml:space="preserve">Guest enquiry → booking</t>
  </si>
  <si>
    <t xml:space="preserve">Above 20%</t>
  </si>
  <si>
    <t xml:space="preserve">Tests your response speed and your rates, not your marketing.</t>
  </si>
  <si>
    <t xml:space="preserve">Landlord enquiry → call</t>
  </si>
  <si>
    <t xml:space="preserve">Above 40%</t>
  </si>
  <si>
    <t xml:space="preserve">Landlord leads are warm by the time they DM. If this is low, the follow-up is broken.</t>
  </si>
  <si>
    <t xml:space="preserve">Cost per landlord lead</t>
  </si>
  <si>
    <t xml:space="preserve">Under £150 organic</t>
  </si>
  <si>
    <t xml:space="preserve">One landlord conversion is worth more than a year of bookings. Value these leads properly.</t>
  </si>
  <si>
    <t xml:space="preserve">Event map — the 26 dates that drive demand</t>
  </si>
  <si>
    <t xml:space="preserve">Sourced from the full research file. Red = peak demand week, blue = trough. Use this for pricing as much as for content.</t>
  </si>
  <si>
    <t xml:space="preserve">Date(s)</t>
  </si>
  <si>
    <t xml:space="preserve">Event</t>
  </si>
  <si>
    <t xml:space="preserve">Venue / area</t>
  </si>
  <si>
    <t xml:space="preserve">Nearest tube/rail</t>
  </si>
  <si>
    <t xml:space="preserve">Audience</t>
  </si>
  <si>
    <t xml:space="preserve">Demand</t>
  </si>
  <si>
    <t xml:space="preserve">Content angle already in the calendar</t>
  </si>
  <si>
    <t xml:space="preserve">10 Sep 2026 – 11 Jul 2027</t>
  </si>
  <si>
    <t xml:space="preserve">Bayeux Tapestry</t>
  </si>
  <si>
    <t xml:space="preserve">British Museum, WC1</t>
  </si>
  <si>
    <t xml:space="preserve">Holborn / Russell Sq</t>
  </si>
  <si>
    <t xml:space="preserve">International, family, culture</t>
  </si>
  <si>
    <t xml:space="preserve">Launch carousel 11 Sep — a 10-month standing reason to visit London</t>
  </si>
  <si>
    <t xml:space="preserve">12–20 Sep 2026</t>
  </si>
  <si>
    <t xml:space="preserve">London Design Festival</t>
  </si>
  <si>
    <t xml:space="preserve">11 districts, London-wide</t>
  </si>
  <si>
    <t xml:space="preserve">Various</t>
  </si>
  <si>
    <t xml:space="preserve">International, corporate</t>
  </si>
  <si>
    <t xml:space="preserve">Free-things reel 12 Sep — dispersed across zones, favours non-Zone-1 stock</t>
  </si>
  <si>
    <t xml:space="preserve">17–21 Sep 2026</t>
  </si>
  <si>
    <t xml:space="preserve">London Fashion Week SS27</t>
  </si>
  <si>
    <t xml:space="preserve">W1 / Strand / Soho</t>
  </si>
  <si>
    <t xml:space="preserve">Oxford Circus</t>
  </si>
  <si>
    <t xml:space="preserve">PEAK</t>
  </si>
  <si>
    <t xml:space="preserve">Weekly anchor 14 Sep. Buyers book 5–7 nights</t>
  </si>
  <si>
    <t xml:space="preserve">25–27 Sep 2026</t>
  </si>
  <si>
    <t xml:space="preserve">Laver Cup</t>
  </si>
  <si>
    <t xml:space="preserve">The O2, SE10</t>
  </si>
  <si>
    <t xml:space="preserve">North Greenwich</t>
  </si>
  <si>
    <t xml:space="preserve">Anchor 21 Sep — plus the 'ATP Finals are in Turin' correction</t>
  </si>
  <si>
    <t xml:space="preserve">26 Sep 2026</t>
  </si>
  <si>
    <t xml:space="preserve">England v Spain</t>
  </si>
  <si>
    <t xml:space="preserve">Wembley Park</t>
  </si>
  <si>
    <t xml:space="preserve">International, domestic</t>
  </si>
  <si>
    <t xml:space="preserve">Matchday food guide 26 Sep</t>
  </si>
  <si>
    <t xml:space="preserve">1–11 Oct 2026</t>
  </si>
  <si>
    <t xml:space="preserve">Southbank + citywide</t>
  </si>
  <si>
    <t xml:space="preserve">Waterloo</t>
  </si>
  <si>
    <t xml:space="preserve">Screenings carousel 3 Oct. Delegates take 7–11 nights</t>
  </si>
  <si>
    <t xml:space="preserve">4 &amp; 11 Oct 2026</t>
  </si>
  <si>
    <t xml:space="preserve">NFL London (Tottenham)</t>
  </si>
  <si>
    <t xml:space="preserve">Tottenham Hotspur Stadium</t>
  </si>
  <si>
    <t xml:space="preserve">Seven Sisters</t>
  </si>
  <si>
    <t xml:space="preserve">International (US)</t>
  </si>
  <si>
    <t xml:space="preserve">Anchor 5 Oct + 'six things that will confuse you' 6 Oct</t>
  </si>
  <si>
    <t xml:space="preserve">14–18 Oct 2026</t>
  </si>
  <si>
    <t xml:space="preserve">FRIEZE LONDON + MASTERS</t>
  </si>
  <si>
    <t xml:space="preserve">The Regent's Park, NW1</t>
  </si>
  <si>
    <t xml:space="preserve">Regent's Park</t>
  </si>
  <si>
    <t xml:space="preserve">International HNW</t>
  </si>
  <si>
    <t xml:space="preserve">PEAK ★</t>
  </si>
  <si>
    <t xml:space="preserve">Anchor 12 Oct + free-Frieze counter-programming 13 Oct</t>
  </si>
  <si>
    <t xml:space="preserve">18 Oct 2026</t>
  </si>
  <si>
    <t xml:space="preserve">NFL London (Wembley)</t>
  </si>
  <si>
    <t xml:space="preserve">Inside the Frieze-week anchor. US visitors book 4–7 nights</t>
  </si>
  <si>
    <t xml:space="preserve">19–23 Oct 2026</t>
  </si>
  <si>
    <t xml:space="preserve">— POST-FRIEZE AIR POCKET —</t>
  </si>
  <si>
    <t xml:space="preserve">London-wide</t>
  </si>
  <si>
    <t xml:space="preserve">—</t>
  </si>
  <si>
    <t xml:space="preserve">TROUGH</t>
  </si>
  <si>
    <t xml:space="preserve">Value week: anchor 19 Oct + honest price comparison 20 Oct</t>
  </si>
  <si>
    <t xml:space="preserve">26–30 Oct 2026</t>
  </si>
  <si>
    <t xml:space="preserve">Autumn half term</t>
  </si>
  <si>
    <t xml:space="preserve">Family, domestic</t>
  </si>
  <si>
    <t xml:space="preserve">Free-things-with-kids reel posted Sat 24 Oct, before it starts</t>
  </si>
  <si>
    <t xml:space="preserve">31 Oct 2026</t>
  </si>
  <si>
    <t xml:space="preserve">Halloween (a Saturday)</t>
  </si>
  <si>
    <t xml:space="preserve">Family + young leisure</t>
  </si>
  <si>
    <t xml:space="preserve">Same-day non-nightclub guide 31 Oct</t>
  </si>
  <si>
    <t xml:space="preserve">5 Nov 2026</t>
  </si>
  <si>
    <t xml:space="preserve">Bonfire Night</t>
  </si>
  <si>
    <t xml:space="preserve">Displays ranked by the walk home, 3 Nov</t>
  </si>
  <si>
    <t xml:space="preserve">7–8 Nov 2026</t>
  </si>
  <si>
    <t xml:space="preserve">Fireworks &amp; Drone Festival</t>
  </si>
  <si>
    <t xml:space="preserve">Alexandra Palace, N22</t>
  </si>
  <si>
    <t xml:space="preserve">Inside anchor 2 Nov</t>
  </si>
  <si>
    <t xml:space="preserve">8 Nov 2026</t>
  </si>
  <si>
    <t xml:space="preserve">England v Australia</t>
  </si>
  <si>
    <t xml:space="preserve">Twickenham rail</t>
  </si>
  <si>
    <t xml:space="preserve">Away-fan pub guide 7 Nov</t>
  </si>
  <si>
    <t xml:space="preserve">13 Nov 2026 – 3 Jan 2027</t>
  </si>
  <si>
    <t xml:space="preserve">Christmas at Kew</t>
  </si>
  <si>
    <t xml:space="preserve">Kew Gardens, TW9</t>
  </si>
  <si>
    <t xml:space="preserve">Kew Gardens</t>
  </si>
  <si>
    <t xml:space="preserve">Family, local</t>
  </si>
  <si>
    <t xml:space="preserve">Anchors SW London family demand for 7 weeks</t>
  </si>
  <si>
    <t xml:space="preserve">13–17 Nov 2026</t>
  </si>
  <si>
    <t xml:space="preserve">Noah Kahan ×5 nights</t>
  </si>
  <si>
    <t xml:space="preserve">Young leisure</t>
  </si>
  <si>
    <t xml:space="preserve">Anchor 9 Nov + timed walk to the O2, 10 Nov</t>
  </si>
  <si>
    <t xml:space="preserve">14 Nov 2026</t>
  </si>
  <si>
    <t xml:space="preserve">England v Japan</t>
  </si>
  <si>
    <t xml:space="preserve">International</t>
  </si>
  <si>
    <t xml:space="preserve">Inside anchor 9 Nov</t>
  </si>
  <si>
    <t xml:space="preserve">19 Nov 2026 – 3 Jan 2027</t>
  </si>
  <si>
    <t xml:space="preserve">HYDE PARK WINTER WONDERLAND</t>
  </si>
  <si>
    <t xml:space="preserve">Hyde Park, W1/W2</t>
  </si>
  <si>
    <t xml:space="preserve">Hyde Park Corner</t>
  </si>
  <si>
    <t xml:space="preserve">Family, international</t>
  </si>
  <si>
    <t xml:space="preserve">Anchor 16 Nov + insider guide 17 Nov. 46 days of Zone 1 footfall</t>
  </si>
  <si>
    <t xml:space="preserve">21 Nov 2026</t>
  </si>
  <si>
    <t xml:space="preserve">Timed Waterloo→Twickenham journey, 21 Nov. Strongest ADR day of Nov</t>
  </si>
  <si>
    <t xml:space="preserve">27–29 Nov 2026</t>
  </si>
  <si>
    <t xml:space="preserve">NATIONS CHAMPIONSHIP FINALS</t>
  </si>
  <si>
    <t xml:space="preserve">12 nations, international</t>
  </si>
  <si>
    <t xml:space="preserve">PEAK ★★</t>
  </si>
  <si>
    <t xml:space="preserve">Anchor 23 Nov + availability post 24 Nov + live coverage 28 Nov</t>
  </si>
  <si>
    <t xml:space="preserve">26 Nov – 18 Dec 2026</t>
  </si>
  <si>
    <t xml:space="preserve">Corporate Christmas party season</t>
  </si>
  <si>
    <t xml:space="preserve">City, Canary Wharf, Shoreditch</t>
  </si>
  <si>
    <t xml:space="preserve">Corporate</t>
  </si>
  <si>
    <t xml:space="preserve">Anchors 30 Nov + group-booking post 1 Dec</t>
  </si>
  <si>
    <t xml:space="preserve">11 Dec 2026 – 3 Jan 2027</t>
  </si>
  <si>
    <t xml:space="preserve">Domestic groups</t>
  </si>
  <si>
    <t xml:space="preserve">Anchor 7 Dec + N London journey post 8 Dec. 180,000 tickets, 24 days</t>
  </si>
  <si>
    <t xml:space="preserve">17–21 Dec 2026</t>
  </si>
  <si>
    <t xml:space="preserve">London International Horse Show</t>
  </si>
  <si>
    <t xml:space="preserve">ExCeL, E16</t>
  </si>
  <si>
    <t xml:space="preserve">Custom House</t>
  </si>
  <si>
    <t xml:space="preserve">Family, county</t>
  </si>
  <si>
    <t xml:space="preserve">Pre-Christmas Docklands family demand as corporate fades</t>
  </si>
  <si>
    <t xml:space="preserve">31 Dec 2026</t>
  </si>
  <si>
    <t xml:space="preserve">New Year's Eve fireworks</t>
  </si>
  <si>
    <t xml:space="preserve">South Bank / Embankment</t>
  </si>
  <si>
    <t xml:space="preserve">Embankment</t>
  </si>
  <si>
    <t xml:space="preserve">Highest single-night rate of the year — enforce 3-night minimums</t>
  </si>
  <si>
    <t xml:space="preserve">4–24 Jan 2027</t>
  </si>
  <si>
    <t xml:space="preserve">— THE TROUGH —</t>
  </si>
  <si>
    <t xml:space="preserve">TROUGH ★</t>
  </si>
  <si>
    <t xml:space="preserve">Three genuinely dead weeks. Next quarter's content must sell value, emptiness and closing exhibitions, not events</t>
  </si>
</sst>
</file>

<file path=xl/styles.xml><?xml version="1.0" encoding="utf-8"?>
<styleSheet xmlns="http://schemas.openxmlformats.org/spreadsheetml/2006/main">
  <numFmts count="7">
    <numFmt numFmtId="164" formatCode="General"/>
    <numFmt numFmtId="165" formatCode="ddd\ dd\ mmm"/>
    <numFmt numFmtId="166" formatCode="General"/>
    <numFmt numFmtId="167" formatCode="0.0%"/>
    <numFmt numFmtId="168" formatCode="#,##0"/>
    <numFmt numFmtId="169" formatCode="0%"/>
    <numFmt numFmtId="170" formatCode="0.00%"/>
  </numFmts>
  <fonts count="14">
    <font>
      <sz val="11"/>
      <color theme="1"/>
      <name val="Calibri"/>
      <family val="2"/>
      <charset val="1"/>
    </font>
    <font>
      <sz val="10"/>
      <name val="Arial"/>
      <family val="0"/>
    </font>
    <font>
      <sz val="10"/>
      <name val="Arial"/>
      <family val="0"/>
    </font>
    <font>
      <sz val="10"/>
      <name val="Arial"/>
      <family val="0"/>
    </font>
    <font>
      <b val="true"/>
      <sz val="15"/>
      <color rgb="FF1F3A5F"/>
      <name val="Arial"/>
      <family val="0"/>
      <charset val="1"/>
    </font>
    <font>
      <i val="true"/>
      <sz val="9"/>
      <color rgb="FF666666"/>
      <name val="Arial"/>
      <family val="0"/>
      <charset val="1"/>
    </font>
    <font>
      <b val="true"/>
      <sz val="10"/>
      <color rgb="FFFFFFFF"/>
      <name val="Arial"/>
      <family val="0"/>
      <charset val="1"/>
    </font>
    <font>
      <sz val="9"/>
      <name val="Arial"/>
      <family val="0"/>
      <charset val="1"/>
    </font>
    <font>
      <b val="true"/>
      <sz val="9"/>
      <name val="Arial"/>
      <family val="0"/>
      <charset val="1"/>
    </font>
    <font>
      <b val="true"/>
      <sz val="11"/>
      <color rgb="FF1F3A5F"/>
      <name val="Arial"/>
      <family val="0"/>
      <charset val="1"/>
    </font>
    <font>
      <b val="true"/>
      <sz val="12"/>
      <color rgb="FF1F3A5F"/>
      <name val="Arial"/>
      <family val="0"/>
      <charset val="1"/>
    </font>
    <font>
      <b val="true"/>
      <sz val="10"/>
      <name val="Arial"/>
      <family val="0"/>
      <charset val="1"/>
    </font>
    <font>
      <i val="true"/>
      <sz val="9"/>
      <name val="Arial"/>
      <family val="0"/>
      <charset val="1"/>
    </font>
    <font>
      <b val="true"/>
      <sz val="13"/>
      <color rgb="FF1F3A5F"/>
      <name val="Arial"/>
      <family val="0"/>
      <charset val="1"/>
    </font>
  </fonts>
  <fills count="17">
    <fill>
      <patternFill patternType="none"/>
    </fill>
    <fill>
      <patternFill patternType="gray125"/>
    </fill>
    <fill>
      <patternFill patternType="solid">
        <fgColor rgb="FF1F3A5F"/>
        <bgColor rgb="FF333333"/>
      </patternFill>
    </fill>
    <fill>
      <patternFill patternType="solid">
        <fgColor rgb="FFF5DCDC"/>
        <bgColor rgb="FFF8D7DA"/>
      </patternFill>
    </fill>
    <fill>
      <patternFill patternType="solid">
        <fgColor rgb="FFFFFFCC"/>
        <bgColor rgb="FFFFF3CD"/>
      </patternFill>
    </fill>
    <fill>
      <patternFill patternType="solid">
        <fgColor rgb="FFD6E4F0"/>
        <bgColor rgb="FFE2E3E5"/>
      </patternFill>
    </fill>
    <fill>
      <patternFill patternType="solid">
        <fgColor rgb="FFE4EFE0"/>
        <bgColor rgb="FFE8EEF4"/>
      </patternFill>
    </fill>
    <fill>
      <patternFill patternType="solid">
        <fgColor rgb="FFF7E4D6"/>
        <bgColor rgb="FFFCE4E4"/>
      </patternFill>
    </fill>
    <fill>
      <patternFill patternType="solid">
        <fgColor rgb="FFEDE0F0"/>
        <bgColor rgb="FFE2E3E5"/>
      </patternFill>
    </fill>
    <fill>
      <patternFill patternType="solid">
        <fgColor rgb="FFFDF2CC"/>
        <bgColor rgb="FFFFF3CD"/>
      </patternFill>
    </fill>
    <fill>
      <patternFill patternType="solid">
        <fgColor rgb="FFF8D7DA"/>
        <bgColor rgb="FFF5DCDC"/>
      </patternFill>
    </fill>
    <fill>
      <patternFill patternType="solid">
        <fgColor rgb="FFFFF3CD"/>
        <bgColor rgb="FFFDF2CC"/>
      </patternFill>
    </fill>
    <fill>
      <patternFill patternType="solid">
        <fgColor rgb="FFE2E3E5"/>
        <bgColor rgb="FFEDE0F0"/>
      </patternFill>
    </fill>
    <fill>
      <patternFill patternType="solid">
        <fgColor rgb="FFE8EEF4"/>
        <bgColor rgb="FFE4EFE0"/>
      </patternFill>
    </fill>
    <fill>
      <patternFill patternType="solid">
        <fgColor rgb="FFFCE4E4"/>
        <bgColor rgb="FFF7E4D6"/>
      </patternFill>
    </fill>
    <fill>
      <patternFill patternType="solid">
        <fgColor rgb="FFF5B7B1"/>
        <bgColor rgb="FFF8D7DA"/>
      </patternFill>
    </fill>
    <fill>
      <patternFill patternType="solid">
        <fgColor rgb="FFAFC9E0"/>
        <bgColor rgb="FFCCCC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8" fillId="7" borderId="1" xfId="0" applyFont="true" applyBorder="true" applyAlignment="true" applyProtection="false">
      <alignment horizontal="general" vertical="top" textRotation="0" wrapText="false" indent="0" shrinkToFit="false"/>
      <protection locked="true" hidden="false"/>
    </xf>
    <xf numFmtId="164" fontId="8" fillId="8" borderId="1" xfId="0" applyFont="true" applyBorder="true" applyAlignment="true" applyProtection="false">
      <alignment horizontal="general" vertical="top" textRotation="0" wrapText="false" indent="0" shrinkToFit="false"/>
      <protection locked="true" hidden="false"/>
    </xf>
    <xf numFmtId="164" fontId="8" fillId="9"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8" fillId="9"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7" fillId="10" borderId="1" xfId="0" applyFont="true" applyBorder="true" applyAlignment="true" applyProtection="false">
      <alignment horizontal="general" vertical="top" textRotation="0" wrapText="false" indent="0" shrinkToFit="false"/>
      <protection locked="true" hidden="false"/>
    </xf>
    <xf numFmtId="164" fontId="7" fillId="11" borderId="1" xfId="0" applyFont="true" applyBorder="true" applyAlignment="true" applyProtection="false">
      <alignment horizontal="general" vertical="top" textRotation="0" wrapText="false" indent="0" shrinkToFit="false"/>
      <protection locked="true" hidden="false"/>
    </xf>
    <xf numFmtId="164" fontId="7" fillId="12"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6" fontId="8" fillId="13" borderId="1" xfId="0" applyFont="true" applyBorder="true" applyAlignment="false" applyProtection="false">
      <alignment horizontal="general" vertical="bottom" textRotation="0" wrapText="false" indent="0" shrinkToFit="false"/>
      <protection locked="true" hidden="false"/>
    </xf>
    <xf numFmtId="169" fontId="8" fillId="1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8" fontId="7" fillId="13" borderId="1" xfId="0" applyFont="true" applyBorder="true" applyAlignment="true" applyProtection="false">
      <alignment horizontal="general" vertical="top" textRotation="0" wrapText="false" indent="0" shrinkToFit="false"/>
      <protection locked="true" hidden="false"/>
    </xf>
    <xf numFmtId="170" fontId="7" fillId="13" borderId="1" xfId="0" applyFont="true" applyBorder="true" applyAlignment="true" applyProtection="false">
      <alignment horizontal="general" vertical="top" textRotation="0" wrapText="false" indent="0" shrinkToFit="false"/>
      <protection locked="true" hidden="false"/>
    </xf>
    <xf numFmtId="164" fontId="8" fillId="11" borderId="1" xfId="0" applyFont="true" applyBorder="true" applyAlignment="true" applyProtection="false">
      <alignment horizontal="general" vertical="top" textRotation="0" wrapText="false" indent="0" shrinkToFit="false"/>
      <protection locked="true" hidden="false"/>
    </xf>
    <xf numFmtId="164" fontId="8" fillId="14" borderId="1" xfId="0" applyFont="true" applyBorder="true" applyAlignment="true" applyProtection="false">
      <alignment horizontal="general" vertical="top" textRotation="0" wrapText="false" indent="0" shrinkToFit="false"/>
      <protection locked="true" hidden="false"/>
    </xf>
    <xf numFmtId="164" fontId="8" fillId="10" borderId="1" xfId="0" applyFont="true" applyBorder="true" applyAlignment="true" applyProtection="false">
      <alignment horizontal="general" vertical="top" textRotation="0" wrapText="false" indent="0" shrinkToFit="false"/>
      <protection locked="true" hidden="false"/>
    </xf>
    <xf numFmtId="164" fontId="8" fillId="15" borderId="1" xfId="0" applyFont="true" applyBorder="true" applyAlignment="true" applyProtection="false">
      <alignment horizontal="general" vertical="top" textRotation="0" wrapText="false" indent="0" shrinkToFit="false"/>
      <protection locked="true" hidden="false"/>
    </xf>
    <xf numFmtId="164" fontId="8" fillId="16"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6E4F0"/>
          <bgColor rgb="FF000000"/>
        </patternFill>
      </fill>
    </dxf>
    <dxf>
      <fill>
        <patternFill patternType="solid">
          <fgColor rgb="FFE4EFE0"/>
          <bgColor rgb="FF000000"/>
        </patternFill>
      </fill>
    </dxf>
    <dxf>
      <fill>
        <patternFill patternType="solid">
          <fgColor rgb="FFEDE0F0"/>
          <bgColor rgb="FF000000"/>
        </patternFill>
      </fill>
    </dxf>
    <dxf>
      <fill>
        <patternFill patternType="solid">
          <fgColor rgb="FFF5DCDC"/>
          <bgColor rgb="FF000000"/>
        </patternFill>
      </fill>
    </dxf>
    <dxf>
      <fill>
        <patternFill patternType="solid">
          <fgColor rgb="FFF7E4D6"/>
          <bgColor rgb="FF000000"/>
        </patternFill>
      </fill>
    </dxf>
    <dxf>
      <fill>
        <patternFill patternType="solid">
          <fgColor rgb="FFFDF2CC"/>
          <bgColor rgb="FF000000"/>
        </patternFill>
      </fill>
    </dxf>
    <dxf>
      <fill>
        <patternFill patternType="solid">
          <fgColor rgb="FFFFFFCC"/>
          <bgColor rgb="FF000000"/>
        </patternFill>
      </fill>
    </dxf>
    <dxf>
      <fill>
        <patternFill patternType="solid">
          <fgColor rgb="FFE2E3E5"/>
          <bgColor rgb="FF000000"/>
        </patternFill>
      </fill>
    </dxf>
    <dxf>
      <fill>
        <patternFill patternType="solid">
          <fgColor rgb="FFF8D7DA"/>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FDF2CC"/>
      <rgbColor rgb="FFFF00FF"/>
      <rgbColor rgb="FF00FFFF"/>
      <rgbColor rgb="FF800000"/>
      <rgbColor rgb="FF008000"/>
      <rgbColor rgb="FF000080"/>
      <rgbColor rgb="FF808000"/>
      <rgbColor rgb="FF800080"/>
      <rgbColor rgb="FF008080"/>
      <rgbColor rgb="FFCCCCCC"/>
      <rgbColor rgb="FF808080"/>
      <rgbColor rgb="FFEDE0F0"/>
      <rgbColor rgb="FF993366"/>
      <rgbColor rgb="FFFFFFCC"/>
      <rgbColor rgb="FFE8EEF4"/>
      <rgbColor rgb="FF660066"/>
      <rgbColor rgb="FFFF8080"/>
      <rgbColor rgb="FF0066CC"/>
      <rgbColor rgb="FFD6E4F0"/>
      <rgbColor rgb="FF000080"/>
      <rgbColor rgb="FFFF00FF"/>
      <rgbColor rgb="FFFCE4E4"/>
      <rgbColor rgb="FF00FFFF"/>
      <rgbColor rgb="FF800080"/>
      <rgbColor rgb="FF800000"/>
      <rgbColor rgb="FF008080"/>
      <rgbColor rgb="FF0000FF"/>
      <rgbColor rgb="FF00CCFF"/>
      <rgbColor rgb="FFE2E3E5"/>
      <rgbColor rgb="FFE4EFE0"/>
      <rgbColor rgb="FFFFF3CD"/>
      <rgbColor rgb="FFAFC9E0"/>
      <rgbColor rgb="FFF8D7DA"/>
      <rgbColor rgb="FFF5DCDC"/>
      <rgbColor rgb="FFF5B7B1"/>
      <rgbColor rgb="FF3366FF"/>
      <rgbColor rgb="FF33CCCC"/>
      <rgbColor rgb="FF99CC00"/>
      <rgbColor rgb="FFF7E4D6"/>
      <rgbColor rgb="FFFF9900"/>
      <rgbColor rgb="FFFF6600"/>
      <rgbColor rgb="FF666666"/>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6" min="6" style="0" width="11"/>
    <col collapsed="false" customWidth="true" hidden="false" outlineLevel="0" max="7" min="7" style="0" width="44"/>
    <col collapsed="false" customWidth="true" hidden="false" outlineLevel="0" max="8" min="8" style="0" width="52"/>
    <col collapsed="false" customWidth="true" hidden="false" outlineLevel="0" max="9" min="9" style="0" width="56"/>
    <col collapsed="false" customWidth="true" hidden="false" outlineLevel="0" max="10" min="10" style="0" width="26"/>
    <col collapsed="false" customWidth="true" hidden="false" outlineLevel="0" max="11" min="11" style="0" width="34"/>
    <col collapsed="false" customWidth="true" hidden="false" outlineLevel="0" max="12" min="12" style="0" width="26"/>
    <col collapsed="false" customWidth="true" hidden="false" outlineLevel="0" max="13" min="13" style="0" width="13"/>
    <col collapsed="false" customWidth="true" hidden="false" outlineLevel="0" max="14" min="14" style="0" width="11"/>
    <col collapsed="false" customWidth="true" hidden="false" outlineLevel="0" max="15" min="15" style="0" width="9"/>
    <col collapsed="false" customWidth="true" hidden="false" outlineLevel="0" max="16" min="16" style="0" width="8"/>
  </cols>
  <sheetData>
    <row r="1" customFormat="false" ht="25.5" hidden="false" customHeight="true" outlineLevel="0" collapsed="false">
      <c r="A1" s="1" t="s">
        <v>0</v>
      </c>
      <c r="B1" s="1"/>
      <c r="C1" s="1"/>
      <c r="D1" s="1"/>
      <c r="E1" s="1"/>
      <c r="F1" s="1"/>
      <c r="G1" s="1"/>
      <c r="H1" s="1"/>
      <c r="I1" s="1"/>
      <c r="J1" s="1"/>
      <c r="K1" s="1"/>
      <c r="L1" s="1"/>
      <c r="M1" s="1"/>
      <c r="N1" s="1"/>
      <c r="O1" s="1"/>
      <c r="P1" s="1"/>
    </row>
    <row r="2" customFormat="false" ht="15.75" hidden="false" customHeight="true" outlineLevel="0" collapsed="false">
      <c r="A2" s="2" t="s">
        <v>1</v>
      </c>
      <c r="B2" s="2"/>
      <c r="C2" s="2"/>
      <c r="D2" s="2"/>
      <c r="E2" s="2"/>
      <c r="F2" s="2"/>
      <c r="G2" s="2"/>
      <c r="H2" s="2"/>
      <c r="I2" s="2"/>
      <c r="J2" s="2"/>
      <c r="K2" s="2"/>
      <c r="L2" s="2"/>
      <c r="M2" s="2"/>
      <c r="N2" s="2"/>
      <c r="O2" s="2"/>
      <c r="P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73.5" hidden="false" customHeight="true" outlineLevel="0" collapsed="false">
      <c r="A5" s="4" t="n">
        <v>46275</v>
      </c>
      <c r="B5" s="5" t="s">
        <v>18</v>
      </c>
      <c r="C5" s="5" t="s">
        <v>19</v>
      </c>
      <c r="D5" s="6" t="s">
        <v>20</v>
      </c>
      <c r="E5" s="5" t="s">
        <v>21</v>
      </c>
      <c r="F5" s="5" t="s">
        <v>22</v>
      </c>
      <c r="G5" s="7" t="s">
        <v>23</v>
      </c>
      <c r="H5" s="7" t="s">
        <v>24</v>
      </c>
      <c r="I5" s="7" t="s">
        <v>25</v>
      </c>
      <c r="J5" s="7" t="s">
        <v>26</v>
      </c>
      <c r="K5" s="7" t="s">
        <v>27</v>
      </c>
      <c r="L5" s="7" t="s">
        <v>28</v>
      </c>
      <c r="M5" s="8" t="s">
        <v>29</v>
      </c>
      <c r="N5" s="8"/>
      <c r="O5" s="8"/>
      <c r="P5" s="8"/>
    </row>
    <row r="6" customFormat="false" ht="73.5" hidden="false" customHeight="true" outlineLevel="0" collapsed="false">
      <c r="A6" s="4" t="n">
        <v>46276</v>
      </c>
      <c r="B6" s="5" t="s">
        <v>30</v>
      </c>
      <c r="C6" s="5" t="s">
        <v>19</v>
      </c>
      <c r="D6" s="9" t="s">
        <v>31</v>
      </c>
      <c r="E6" s="5" t="s">
        <v>32</v>
      </c>
      <c r="F6" s="5" t="s">
        <v>33</v>
      </c>
      <c r="G6" s="7" t="s">
        <v>34</v>
      </c>
      <c r="H6" s="7" t="s">
        <v>35</v>
      </c>
      <c r="I6" s="7" t="s">
        <v>36</v>
      </c>
      <c r="J6" s="7" t="s">
        <v>37</v>
      </c>
      <c r="K6" s="7" t="s">
        <v>38</v>
      </c>
      <c r="L6" s="7" t="s">
        <v>39</v>
      </c>
      <c r="M6" s="8" t="s">
        <v>29</v>
      </c>
      <c r="N6" s="8"/>
      <c r="O6" s="8"/>
      <c r="P6" s="8"/>
    </row>
    <row r="7" customFormat="false" ht="73.5" hidden="false" customHeight="true" outlineLevel="0" collapsed="false">
      <c r="A7" s="4" t="n">
        <v>46277</v>
      </c>
      <c r="B7" s="5" t="s">
        <v>40</v>
      </c>
      <c r="C7" s="5" t="s">
        <v>19</v>
      </c>
      <c r="D7" s="9" t="s">
        <v>31</v>
      </c>
      <c r="E7" s="5" t="s">
        <v>41</v>
      </c>
      <c r="F7" s="5" t="s">
        <v>42</v>
      </c>
      <c r="G7" s="7" t="s">
        <v>43</v>
      </c>
      <c r="H7" s="7" t="s">
        <v>44</v>
      </c>
      <c r="I7" s="7" t="s">
        <v>45</v>
      </c>
      <c r="J7" s="7" t="s">
        <v>46</v>
      </c>
      <c r="K7" s="7" t="s">
        <v>47</v>
      </c>
      <c r="L7" s="7" t="s">
        <v>48</v>
      </c>
      <c r="M7" s="8" t="s">
        <v>29</v>
      </c>
      <c r="N7" s="8"/>
      <c r="O7" s="8"/>
      <c r="P7" s="8"/>
    </row>
    <row r="8" customFormat="false" ht="73.5" hidden="false" customHeight="true" outlineLevel="0" collapsed="false">
      <c r="A8" s="4" t="n">
        <v>46279</v>
      </c>
      <c r="B8" s="5" t="s">
        <v>49</v>
      </c>
      <c r="C8" s="5" t="s">
        <v>50</v>
      </c>
      <c r="D8" s="9" t="s">
        <v>31</v>
      </c>
      <c r="E8" s="5" t="s">
        <v>32</v>
      </c>
      <c r="F8" s="5" t="s">
        <v>51</v>
      </c>
      <c r="G8" s="7" t="s">
        <v>52</v>
      </c>
      <c r="H8" s="7" t="s">
        <v>53</v>
      </c>
      <c r="I8" s="7" t="s">
        <v>54</v>
      </c>
      <c r="J8" s="7" t="s">
        <v>55</v>
      </c>
      <c r="K8" s="7" t="s">
        <v>56</v>
      </c>
      <c r="L8" s="7" t="s">
        <v>57</v>
      </c>
      <c r="M8" s="8" t="s">
        <v>29</v>
      </c>
      <c r="N8" s="8"/>
      <c r="O8" s="8"/>
      <c r="P8" s="8"/>
    </row>
    <row r="9" customFormat="false" ht="73.5" hidden="false" customHeight="true" outlineLevel="0" collapsed="false">
      <c r="A9" s="4" t="n">
        <v>46280</v>
      </c>
      <c r="B9" s="5" t="s">
        <v>58</v>
      </c>
      <c r="C9" s="5" t="s">
        <v>50</v>
      </c>
      <c r="D9" s="10" t="s">
        <v>59</v>
      </c>
      <c r="E9" s="5" t="s">
        <v>21</v>
      </c>
      <c r="F9" s="5" t="s">
        <v>60</v>
      </c>
      <c r="G9" s="7" t="s">
        <v>61</v>
      </c>
      <c r="H9" s="7" t="s">
        <v>62</v>
      </c>
      <c r="I9" s="7" t="s">
        <v>63</v>
      </c>
      <c r="J9" s="7" t="s">
        <v>64</v>
      </c>
      <c r="K9" s="7" t="s">
        <v>65</v>
      </c>
      <c r="L9" s="7"/>
      <c r="M9" s="8" t="s">
        <v>29</v>
      </c>
      <c r="N9" s="8"/>
      <c r="O9" s="8"/>
      <c r="P9" s="8"/>
    </row>
    <row r="10" customFormat="false" ht="73.5" hidden="false" customHeight="true" outlineLevel="0" collapsed="false">
      <c r="A10" s="4" t="n">
        <v>46281</v>
      </c>
      <c r="B10" s="5" t="s">
        <v>66</v>
      </c>
      <c r="C10" s="5" t="s">
        <v>50</v>
      </c>
      <c r="D10" s="11" t="s">
        <v>67</v>
      </c>
      <c r="E10" s="5" t="s">
        <v>21</v>
      </c>
      <c r="F10" s="5" t="s">
        <v>68</v>
      </c>
      <c r="G10" s="7" t="s">
        <v>69</v>
      </c>
      <c r="H10" s="7" t="s">
        <v>70</v>
      </c>
      <c r="I10" s="7" t="s">
        <v>71</v>
      </c>
      <c r="J10" s="7" t="s">
        <v>72</v>
      </c>
      <c r="K10" s="7" t="s">
        <v>73</v>
      </c>
      <c r="L10" s="7" t="s">
        <v>74</v>
      </c>
      <c r="M10" s="8" t="s">
        <v>29</v>
      </c>
      <c r="N10" s="8"/>
      <c r="O10" s="8"/>
      <c r="P10" s="8"/>
    </row>
    <row r="11" customFormat="false" ht="73.5" hidden="false" customHeight="true" outlineLevel="0" collapsed="false">
      <c r="A11" s="4" t="n">
        <v>46282</v>
      </c>
      <c r="B11" s="5" t="s">
        <v>18</v>
      </c>
      <c r="C11" s="5" t="s">
        <v>50</v>
      </c>
      <c r="D11" s="12" t="s">
        <v>75</v>
      </c>
      <c r="E11" s="5" t="s">
        <v>32</v>
      </c>
      <c r="F11" s="5" t="s">
        <v>42</v>
      </c>
      <c r="G11" s="7" t="s">
        <v>76</v>
      </c>
      <c r="H11" s="7" t="s">
        <v>77</v>
      </c>
      <c r="I11" s="7" t="s">
        <v>78</v>
      </c>
      <c r="J11" s="7" t="s">
        <v>79</v>
      </c>
      <c r="K11" s="7" t="s">
        <v>80</v>
      </c>
      <c r="L11" s="7"/>
      <c r="M11" s="8" t="s">
        <v>29</v>
      </c>
      <c r="N11" s="8"/>
      <c r="O11" s="8"/>
      <c r="P11" s="8"/>
    </row>
    <row r="12" customFormat="false" ht="73.5" hidden="false" customHeight="true" outlineLevel="0" collapsed="false">
      <c r="A12" s="4" t="n">
        <v>46284</v>
      </c>
      <c r="B12" s="5" t="s">
        <v>40</v>
      </c>
      <c r="C12" s="5" t="s">
        <v>50</v>
      </c>
      <c r="D12" s="9" t="s">
        <v>31</v>
      </c>
      <c r="E12" s="5" t="s">
        <v>41</v>
      </c>
      <c r="F12" s="5" t="s">
        <v>22</v>
      </c>
      <c r="G12" s="7" t="s">
        <v>81</v>
      </c>
      <c r="H12" s="7" t="s">
        <v>82</v>
      </c>
      <c r="I12" s="7" t="s">
        <v>83</v>
      </c>
      <c r="J12" s="7" t="s">
        <v>84</v>
      </c>
      <c r="K12" s="7" t="s">
        <v>85</v>
      </c>
      <c r="L12" s="7" t="s">
        <v>86</v>
      </c>
      <c r="M12" s="8" t="s">
        <v>29</v>
      </c>
      <c r="N12" s="8"/>
      <c r="O12" s="8"/>
      <c r="P12" s="8"/>
    </row>
    <row r="13" customFormat="false" ht="73.5" hidden="false" customHeight="true" outlineLevel="0" collapsed="false">
      <c r="A13" s="4" t="n">
        <v>46286</v>
      </c>
      <c r="B13" s="5" t="s">
        <v>49</v>
      </c>
      <c r="C13" s="5" t="s">
        <v>87</v>
      </c>
      <c r="D13" s="9" t="s">
        <v>31</v>
      </c>
      <c r="E13" s="5" t="s">
        <v>32</v>
      </c>
      <c r="F13" s="5" t="s">
        <v>51</v>
      </c>
      <c r="G13" s="7" t="s">
        <v>88</v>
      </c>
      <c r="H13" s="7" t="s">
        <v>89</v>
      </c>
      <c r="I13" s="7" t="s">
        <v>90</v>
      </c>
      <c r="J13" s="7" t="s">
        <v>91</v>
      </c>
      <c r="K13" s="7" t="s">
        <v>92</v>
      </c>
      <c r="L13" s="7" t="s">
        <v>93</v>
      </c>
      <c r="M13" s="8" t="s">
        <v>29</v>
      </c>
      <c r="N13" s="8"/>
      <c r="O13" s="8"/>
      <c r="P13" s="8"/>
    </row>
    <row r="14" customFormat="false" ht="73.5" hidden="false" customHeight="true" outlineLevel="0" collapsed="false">
      <c r="A14" s="4" t="n">
        <v>46287</v>
      </c>
      <c r="B14" s="5" t="s">
        <v>58</v>
      </c>
      <c r="C14" s="5" t="s">
        <v>87</v>
      </c>
      <c r="D14" s="13" t="s">
        <v>94</v>
      </c>
      <c r="E14" s="5" t="s">
        <v>32</v>
      </c>
      <c r="F14" s="5" t="s">
        <v>51</v>
      </c>
      <c r="G14" s="7" t="s">
        <v>95</v>
      </c>
      <c r="H14" s="7" t="s">
        <v>96</v>
      </c>
      <c r="I14" s="7" t="s">
        <v>97</v>
      </c>
      <c r="J14" s="7" t="s">
        <v>98</v>
      </c>
      <c r="K14" s="7" t="s">
        <v>99</v>
      </c>
      <c r="L14" s="7"/>
      <c r="M14" s="8" t="s">
        <v>29</v>
      </c>
      <c r="N14" s="8"/>
      <c r="O14" s="8"/>
      <c r="P14" s="8"/>
    </row>
    <row r="15" customFormat="false" ht="73.5" hidden="false" customHeight="true" outlineLevel="0" collapsed="false">
      <c r="A15" s="4" t="n">
        <v>46288</v>
      </c>
      <c r="B15" s="5" t="s">
        <v>66</v>
      </c>
      <c r="C15" s="5" t="s">
        <v>87</v>
      </c>
      <c r="D15" s="11" t="s">
        <v>67</v>
      </c>
      <c r="E15" s="5" t="s">
        <v>21</v>
      </c>
      <c r="F15" s="5" t="s">
        <v>100</v>
      </c>
      <c r="G15" s="7" t="s">
        <v>101</v>
      </c>
      <c r="H15" s="7" t="s">
        <v>102</v>
      </c>
      <c r="I15" s="7" t="s">
        <v>103</v>
      </c>
      <c r="J15" s="7" t="s">
        <v>104</v>
      </c>
      <c r="K15" s="7" t="s">
        <v>105</v>
      </c>
      <c r="L15" s="7" t="s">
        <v>106</v>
      </c>
      <c r="M15" s="8" t="s">
        <v>29</v>
      </c>
      <c r="N15" s="8"/>
      <c r="O15" s="8"/>
      <c r="P15" s="8"/>
    </row>
    <row r="16" customFormat="false" ht="73.5" hidden="false" customHeight="true" outlineLevel="0" collapsed="false">
      <c r="A16" s="4" t="n">
        <v>46289</v>
      </c>
      <c r="B16" s="5" t="s">
        <v>18</v>
      </c>
      <c r="C16" s="5" t="s">
        <v>87</v>
      </c>
      <c r="D16" s="12" t="s">
        <v>75</v>
      </c>
      <c r="E16" s="5" t="s">
        <v>21</v>
      </c>
      <c r="F16" s="5" t="s">
        <v>107</v>
      </c>
      <c r="G16" s="7" t="s">
        <v>108</v>
      </c>
      <c r="H16" s="7" t="s">
        <v>109</v>
      </c>
      <c r="I16" s="7" t="s">
        <v>110</v>
      </c>
      <c r="J16" s="7" t="s">
        <v>111</v>
      </c>
      <c r="K16" s="7" t="s">
        <v>112</v>
      </c>
      <c r="L16" s="7"/>
      <c r="M16" s="8" t="s">
        <v>29</v>
      </c>
      <c r="N16" s="8"/>
      <c r="O16" s="8"/>
      <c r="P16" s="8"/>
    </row>
    <row r="17" customFormat="false" ht="73.5" hidden="false" customHeight="true" outlineLevel="0" collapsed="false">
      <c r="A17" s="4" t="n">
        <v>46291</v>
      </c>
      <c r="B17" s="5" t="s">
        <v>40</v>
      </c>
      <c r="C17" s="5" t="s">
        <v>87</v>
      </c>
      <c r="D17" s="9" t="s">
        <v>31</v>
      </c>
      <c r="E17" s="5" t="s">
        <v>41</v>
      </c>
      <c r="F17" s="5" t="s">
        <v>42</v>
      </c>
      <c r="G17" s="7" t="s">
        <v>113</v>
      </c>
      <c r="H17" s="7" t="s">
        <v>114</v>
      </c>
      <c r="I17" s="7" t="s">
        <v>115</v>
      </c>
      <c r="J17" s="7" t="s">
        <v>116</v>
      </c>
      <c r="K17" s="7" t="s">
        <v>117</v>
      </c>
      <c r="L17" s="7" t="s">
        <v>118</v>
      </c>
      <c r="M17" s="8" t="s">
        <v>29</v>
      </c>
      <c r="N17" s="8"/>
      <c r="O17" s="8"/>
      <c r="P17" s="8"/>
    </row>
    <row r="18" customFormat="false" ht="73.5" hidden="false" customHeight="true" outlineLevel="0" collapsed="false">
      <c r="A18" s="4" t="n">
        <v>46293</v>
      </c>
      <c r="B18" s="5" t="s">
        <v>49</v>
      </c>
      <c r="C18" s="5" t="s">
        <v>119</v>
      </c>
      <c r="D18" s="9" t="s">
        <v>31</v>
      </c>
      <c r="E18" s="5" t="s">
        <v>32</v>
      </c>
      <c r="F18" s="5" t="s">
        <v>51</v>
      </c>
      <c r="G18" s="7" t="s">
        <v>120</v>
      </c>
      <c r="H18" s="7" t="s">
        <v>121</v>
      </c>
      <c r="I18" s="7" t="s">
        <v>122</v>
      </c>
      <c r="J18" s="7" t="s">
        <v>123</v>
      </c>
      <c r="K18" s="7" t="s">
        <v>124</v>
      </c>
      <c r="L18" s="7" t="s">
        <v>125</v>
      </c>
      <c r="M18" s="8" t="s">
        <v>29</v>
      </c>
      <c r="N18" s="8"/>
      <c r="O18" s="8"/>
      <c r="P18" s="8"/>
    </row>
    <row r="19" customFormat="false" ht="73.5" hidden="false" customHeight="true" outlineLevel="0" collapsed="false">
      <c r="A19" s="4" t="n">
        <v>46294</v>
      </c>
      <c r="B19" s="5" t="s">
        <v>58</v>
      </c>
      <c r="C19" s="5" t="s">
        <v>119</v>
      </c>
      <c r="D19" s="10" t="s">
        <v>59</v>
      </c>
      <c r="E19" s="5" t="s">
        <v>32</v>
      </c>
      <c r="F19" s="5" t="s">
        <v>51</v>
      </c>
      <c r="G19" s="7" t="s">
        <v>126</v>
      </c>
      <c r="H19" s="7" t="s">
        <v>127</v>
      </c>
      <c r="I19" s="7" t="s">
        <v>128</v>
      </c>
      <c r="J19" s="7" t="s">
        <v>129</v>
      </c>
      <c r="K19" s="7" t="s">
        <v>130</v>
      </c>
      <c r="L19" s="7"/>
      <c r="M19" s="8" t="s">
        <v>29</v>
      </c>
      <c r="N19" s="8"/>
      <c r="O19" s="8"/>
      <c r="P19" s="8"/>
    </row>
    <row r="20" customFormat="false" ht="73.5" hidden="false" customHeight="true" outlineLevel="0" collapsed="false">
      <c r="A20" s="4" t="n">
        <v>46295</v>
      </c>
      <c r="B20" s="5" t="s">
        <v>66</v>
      </c>
      <c r="C20" s="5" t="s">
        <v>119</v>
      </c>
      <c r="D20" s="11" t="s">
        <v>67</v>
      </c>
      <c r="E20" s="5" t="s">
        <v>21</v>
      </c>
      <c r="F20" s="5" t="s">
        <v>33</v>
      </c>
      <c r="G20" s="7" t="s">
        <v>131</v>
      </c>
      <c r="H20" s="7" t="s">
        <v>132</v>
      </c>
      <c r="I20" s="7" t="s">
        <v>133</v>
      </c>
      <c r="J20" s="7" t="s">
        <v>134</v>
      </c>
      <c r="K20" s="7" t="s">
        <v>135</v>
      </c>
      <c r="L20" s="7"/>
      <c r="M20" s="8" t="s">
        <v>29</v>
      </c>
      <c r="N20" s="8"/>
      <c r="O20" s="8"/>
      <c r="P20" s="8"/>
    </row>
    <row r="21" customFormat="false" ht="73.5" hidden="false" customHeight="true" outlineLevel="0" collapsed="false">
      <c r="A21" s="4" t="n">
        <v>46296</v>
      </c>
      <c r="B21" s="5" t="s">
        <v>18</v>
      </c>
      <c r="C21" s="5" t="s">
        <v>119</v>
      </c>
      <c r="D21" s="12" t="s">
        <v>75</v>
      </c>
      <c r="E21" s="5" t="s">
        <v>32</v>
      </c>
      <c r="F21" s="5" t="s">
        <v>22</v>
      </c>
      <c r="G21" s="7" t="s">
        <v>136</v>
      </c>
      <c r="H21" s="7" t="s">
        <v>137</v>
      </c>
      <c r="I21" s="7" t="s">
        <v>138</v>
      </c>
      <c r="J21" s="7" t="s">
        <v>139</v>
      </c>
      <c r="K21" s="7" t="s">
        <v>140</v>
      </c>
      <c r="L21" s="7"/>
      <c r="M21" s="8" t="s">
        <v>29</v>
      </c>
      <c r="N21" s="8"/>
      <c r="O21" s="8"/>
      <c r="P21" s="8"/>
    </row>
    <row r="22" customFormat="false" ht="73.5" hidden="false" customHeight="true" outlineLevel="0" collapsed="false">
      <c r="A22" s="4" t="n">
        <v>46298</v>
      </c>
      <c r="B22" s="5" t="s">
        <v>40</v>
      </c>
      <c r="C22" s="5" t="s">
        <v>119</v>
      </c>
      <c r="D22" s="9" t="s">
        <v>31</v>
      </c>
      <c r="E22" s="5" t="s">
        <v>41</v>
      </c>
      <c r="F22" s="5" t="s">
        <v>60</v>
      </c>
      <c r="G22" s="7" t="s">
        <v>141</v>
      </c>
      <c r="H22" s="7" t="s">
        <v>142</v>
      </c>
      <c r="I22" s="7" t="s">
        <v>143</v>
      </c>
      <c r="J22" s="7" t="s">
        <v>144</v>
      </c>
      <c r="K22" s="7" t="s">
        <v>145</v>
      </c>
      <c r="L22" s="7" t="s">
        <v>146</v>
      </c>
      <c r="M22" s="8" t="s">
        <v>29</v>
      </c>
      <c r="N22" s="8"/>
      <c r="O22" s="8"/>
      <c r="P22" s="8"/>
    </row>
    <row r="23" customFormat="false" ht="73.5" hidden="false" customHeight="true" outlineLevel="0" collapsed="false">
      <c r="A23" s="4" t="n">
        <v>46300</v>
      </c>
      <c r="B23" s="5" t="s">
        <v>49</v>
      </c>
      <c r="C23" s="5" t="s">
        <v>147</v>
      </c>
      <c r="D23" s="9" t="s">
        <v>31</v>
      </c>
      <c r="E23" s="5" t="s">
        <v>32</v>
      </c>
      <c r="F23" s="5" t="s">
        <v>51</v>
      </c>
      <c r="G23" s="7" t="s">
        <v>148</v>
      </c>
      <c r="H23" s="7" t="s">
        <v>149</v>
      </c>
      <c r="I23" s="7" t="s">
        <v>150</v>
      </c>
      <c r="J23" s="7" t="s">
        <v>151</v>
      </c>
      <c r="K23" s="7" t="s">
        <v>152</v>
      </c>
      <c r="L23" s="7" t="s">
        <v>153</v>
      </c>
      <c r="M23" s="8" t="s">
        <v>29</v>
      </c>
      <c r="N23" s="8"/>
      <c r="O23" s="8"/>
      <c r="P23" s="8"/>
    </row>
    <row r="24" customFormat="false" ht="73.5" hidden="false" customHeight="true" outlineLevel="0" collapsed="false">
      <c r="A24" s="4" t="n">
        <v>46301</v>
      </c>
      <c r="B24" s="5" t="s">
        <v>58</v>
      </c>
      <c r="C24" s="5" t="s">
        <v>147</v>
      </c>
      <c r="D24" s="13" t="s">
        <v>94</v>
      </c>
      <c r="E24" s="5" t="s">
        <v>32</v>
      </c>
      <c r="F24" s="5" t="s">
        <v>100</v>
      </c>
      <c r="G24" s="7" t="s">
        <v>154</v>
      </c>
      <c r="H24" s="7" t="s">
        <v>155</v>
      </c>
      <c r="I24" s="7" t="s">
        <v>156</v>
      </c>
      <c r="J24" s="7" t="s">
        <v>157</v>
      </c>
      <c r="K24" s="7" t="s">
        <v>158</v>
      </c>
      <c r="L24" s="7" t="s">
        <v>159</v>
      </c>
      <c r="M24" s="8" t="s">
        <v>29</v>
      </c>
      <c r="N24" s="8"/>
      <c r="O24" s="8"/>
      <c r="P24" s="8"/>
    </row>
    <row r="25" customFormat="false" ht="73.5" hidden="false" customHeight="true" outlineLevel="0" collapsed="false">
      <c r="A25" s="4" t="n">
        <v>46302</v>
      </c>
      <c r="B25" s="5" t="s">
        <v>66</v>
      </c>
      <c r="C25" s="5" t="s">
        <v>147</v>
      </c>
      <c r="D25" s="11" t="s">
        <v>67</v>
      </c>
      <c r="E25" s="5" t="s">
        <v>21</v>
      </c>
      <c r="F25" s="5" t="s">
        <v>51</v>
      </c>
      <c r="G25" s="7" t="s">
        <v>160</v>
      </c>
      <c r="H25" s="7" t="s">
        <v>161</v>
      </c>
      <c r="I25" s="7" t="s">
        <v>162</v>
      </c>
      <c r="J25" s="7" t="s">
        <v>163</v>
      </c>
      <c r="K25" s="7" t="s">
        <v>164</v>
      </c>
      <c r="L25" s="7"/>
      <c r="M25" s="8" t="s">
        <v>29</v>
      </c>
      <c r="N25" s="8"/>
      <c r="O25" s="8"/>
      <c r="P25" s="8"/>
    </row>
    <row r="26" customFormat="false" ht="73.5" hidden="false" customHeight="true" outlineLevel="0" collapsed="false">
      <c r="A26" s="4" t="n">
        <v>46303</v>
      </c>
      <c r="B26" s="5" t="s">
        <v>18</v>
      </c>
      <c r="C26" s="5" t="s">
        <v>147</v>
      </c>
      <c r="D26" s="12" t="s">
        <v>75</v>
      </c>
      <c r="E26" s="5" t="s">
        <v>21</v>
      </c>
      <c r="F26" s="5" t="s">
        <v>33</v>
      </c>
      <c r="G26" s="7" t="s">
        <v>165</v>
      </c>
      <c r="H26" s="7" t="s">
        <v>166</v>
      </c>
      <c r="I26" s="7" t="s">
        <v>167</v>
      </c>
      <c r="J26" s="7" t="s">
        <v>168</v>
      </c>
      <c r="K26" s="7" t="s">
        <v>169</v>
      </c>
      <c r="L26" s="7"/>
      <c r="M26" s="8" t="s">
        <v>29</v>
      </c>
      <c r="N26" s="8"/>
      <c r="O26" s="8"/>
      <c r="P26" s="8"/>
    </row>
    <row r="27" customFormat="false" ht="73.5" hidden="false" customHeight="true" outlineLevel="0" collapsed="false">
      <c r="A27" s="4" t="n">
        <v>46305</v>
      </c>
      <c r="B27" s="5" t="s">
        <v>40</v>
      </c>
      <c r="C27" s="5" t="s">
        <v>147</v>
      </c>
      <c r="D27" s="9" t="s">
        <v>31</v>
      </c>
      <c r="E27" s="5" t="s">
        <v>41</v>
      </c>
      <c r="F27" s="5" t="s">
        <v>22</v>
      </c>
      <c r="G27" s="7" t="s">
        <v>170</v>
      </c>
      <c r="H27" s="7" t="s">
        <v>171</v>
      </c>
      <c r="I27" s="7" t="s">
        <v>172</v>
      </c>
      <c r="J27" s="7" t="s">
        <v>173</v>
      </c>
      <c r="K27" s="7" t="s">
        <v>174</v>
      </c>
      <c r="L27" s="7"/>
      <c r="M27" s="8" t="s">
        <v>29</v>
      </c>
      <c r="N27" s="8"/>
      <c r="O27" s="8"/>
      <c r="P27" s="8"/>
    </row>
    <row r="28" customFormat="false" ht="73.5" hidden="false" customHeight="true" outlineLevel="0" collapsed="false">
      <c r="A28" s="4" t="n">
        <v>46307</v>
      </c>
      <c r="B28" s="5" t="s">
        <v>49</v>
      </c>
      <c r="C28" s="5" t="s">
        <v>175</v>
      </c>
      <c r="D28" s="9" t="s">
        <v>31</v>
      </c>
      <c r="E28" s="5" t="s">
        <v>32</v>
      </c>
      <c r="F28" s="5" t="s">
        <v>100</v>
      </c>
      <c r="G28" s="7" t="s">
        <v>176</v>
      </c>
      <c r="H28" s="7" t="s">
        <v>177</v>
      </c>
      <c r="I28" s="7" t="s">
        <v>178</v>
      </c>
      <c r="J28" s="7" t="s">
        <v>151</v>
      </c>
      <c r="K28" s="7" t="s">
        <v>179</v>
      </c>
      <c r="L28" s="7" t="s">
        <v>180</v>
      </c>
      <c r="M28" s="8" t="s">
        <v>29</v>
      </c>
      <c r="N28" s="8"/>
      <c r="O28" s="8"/>
      <c r="P28" s="8"/>
    </row>
    <row r="29" customFormat="false" ht="73.5" hidden="false" customHeight="true" outlineLevel="0" collapsed="false">
      <c r="A29" s="4" t="n">
        <v>46308</v>
      </c>
      <c r="B29" s="5" t="s">
        <v>58</v>
      </c>
      <c r="C29" s="5" t="s">
        <v>175</v>
      </c>
      <c r="D29" s="9" t="s">
        <v>31</v>
      </c>
      <c r="E29" s="5" t="s">
        <v>32</v>
      </c>
      <c r="F29" s="5" t="s">
        <v>181</v>
      </c>
      <c r="G29" s="7" t="s">
        <v>182</v>
      </c>
      <c r="H29" s="7" t="s">
        <v>183</v>
      </c>
      <c r="I29" s="7" t="s">
        <v>184</v>
      </c>
      <c r="J29" s="7" t="s">
        <v>185</v>
      </c>
      <c r="K29" s="7" t="s">
        <v>186</v>
      </c>
      <c r="L29" s="7" t="s">
        <v>187</v>
      </c>
      <c r="M29" s="8" t="s">
        <v>29</v>
      </c>
      <c r="N29" s="8"/>
      <c r="O29" s="8"/>
      <c r="P29" s="8"/>
    </row>
    <row r="30" customFormat="false" ht="73.5" hidden="false" customHeight="true" outlineLevel="0" collapsed="false">
      <c r="A30" s="4" t="n">
        <v>46309</v>
      </c>
      <c r="B30" s="5" t="s">
        <v>66</v>
      </c>
      <c r="C30" s="5" t="s">
        <v>175</v>
      </c>
      <c r="D30" s="11" t="s">
        <v>67</v>
      </c>
      <c r="E30" s="5" t="s">
        <v>21</v>
      </c>
      <c r="F30" s="5" t="s">
        <v>188</v>
      </c>
      <c r="G30" s="7" t="s">
        <v>189</v>
      </c>
      <c r="H30" s="7" t="s">
        <v>190</v>
      </c>
      <c r="I30" s="7" t="s">
        <v>191</v>
      </c>
      <c r="J30" s="7" t="s">
        <v>192</v>
      </c>
      <c r="K30" s="7" t="s">
        <v>193</v>
      </c>
      <c r="L30" s="7" t="s">
        <v>194</v>
      </c>
      <c r="M30" s="8" t="s">
        <v>29</v>
      </c>
      <c r="N30" s="8"/>
      <c r="O30" s="8"/>
      <c r="P30" s="8"/>
    </row>
    <row r="31" customFormat="false" ht="73.5" hidden="false" customHeight="true" outlineLevel="0" collapsed="false">
      <c r="A31" s="4" t="n">
        <v>46310</v>
      </c>
      <c r="B31" s="5" t="s">
        <v>18</v>
      </c>
      <c r="C31" s="5" t="s">
        <v>175</v>
      </c>
      <c r="D31" s="12" t="s">
        <v>75</v>
      </c>
      <c r="E31" s="5" t="s">
        <v>32</v>
      </c>
      <c r="F31" s="5" t="s">
        <v>42</v>
      </c>
      <c r="G31" s="7" t="s">
        <v>195</v>
      </c>
      <c r="H31" s="7" t="s">
        <v>196</v>
      </c>
      <c r="I31" s="7" t="s">
        <v>197</v>
      </c>
      <c r="J31" s="7" t="s">
        <v>198</v>
      </c>
      <c r="K31" s="7" t="s">
        <v>199</v>
      </c>
      <c r="L31" s="7"/>
      <c r="M31" s="8" t="s">
        <v>29</v>
      </c>
      <c r="N31" s="8"/>
      <c r="O31" s="8"/>
      <c r="P31" s="8"/>
    </row>
    <row r="32" customFormat="false" ht="73.5" hidden="false" customHeight="true" outlineLevel="0" collapsed="false">
      <c r="A32" s="4" t="n">
        <v>46312</v>
      </c>
      <c r="B32" s="5" t="s">
        <v>40</v>
      </c>
      <c r="C32" s="5" t="s">
        <v>175</v>
      </c>
      <c r="D32" s="10" t="s">
        <v>59</v>
      </c>
      <c r="E32" s="5" t="s">
        <v>41</v>
      </c>
      <c r="F32" s="5" t="s">
        <v>51</v>
      </c>
      <c r="G32" s="7" t="s">
        <v>200</v>
      </c>
      <c r="H32" s="7" t="s">
        <v>201</v>
      </c>
      <c r="I32" s="7" t="s">
        <v>202</v>
      </c>
      <c r="J32" s="7" t="s">
        <v>203</v>
      </c>
      <c r="K32" s="7" t="s">
        <v>204</v>
      </c>
      <c r="L32" s="7"/>
      <c r="M32" s="8" t="s">
        <v>29</v>
      </c>
      <c r="N32" s="8"/>
      <c r="O32" s="8"/>
      <c r="P32" s="8"/>
    </row>
    <row r="33" customFormat="false" ht="73.5" hidden="false" customHeight="true" outlineLevel="0" collapsed="false">
      <c r="A33" s="4" t="n">
        <v>46314</v>
      </c>
      <c r="B33" s="5" t="s">
        <v>49</v>
      </c>
      <c r="C33" s="5" t="s">
        <v>205</v>
      </c>
      <c r="D33" s="9" t="s">
        <v>31</v>
      </c>
      <c r="E33" s="5" t="s">
        <v>32</v>
      </c>
      <c r="F33" s="5" t="s">
        <v>51</v>
      </c>
      <c r="G33" s="7" t="s">
        <v>206</v>
      </c>
      <c r="H33" s="7" t="s">
        <v>207</v>
      </c>
      <c r="I33" s="7" t="s">
        <v>208</v>
      </c>
      <c r="J33" s="7" t="s">
        <v>151</v>
      </c>
      <c r="K33" s="7" t="s">
        <v>209</v>
      </c>
      <c r="L33" s="7" t="s">
        <v>210</v>
      </c>
      <c r="M33" s="8" t="s">
        <v>29</v>
      </c>
      <c r="N33" s="8"/>
      <c r="O33" s="8"/>
      <c r="P33" s="8"/>
    </row>
    <row r="34" customFormat="false" ht="73.5" hidden="false" customHeight="true" outlineLevel="0" collapsed="false">
      <c r="A34" s="4" t="n">
        <v>46315</v>
      </c>
      <c r="B34" s="5" t="s">
        <v>58</v>
      </c>
      <c r="C34" s="5" t="s">
        <v>205</v>
      </c>
      <c r="D34" s="10" t="s">
        <v>59</v>
      </c>
      <c r="E34" s="5" t="s">
        <v>21</v>
      </c>
      <c r="F34" s="5" t="s">
        <v>33</v>
      </c>
      <c r="G34" s="7" t="s">
        <v>211</v>
      </c>
      <c r="H34" s="7" t="s">
        <v>212</v>
      </c>
      <c r="I34" s="7" t="s">
        <v>213</v>
      </c>
      <c r="J34" s="7" t="s">
        <v>214</v>
      </c>
      <c r="K34" s="7" t="s">
        <v>215</v>
      </c>
      <c r="L34" s="7" t="s">
        <v>216</v>
      </c>
      <c r="M34" s="8" t="s">
        <v>29</v>
      </c>
      <c r="N34" s="8"/>
      <c r="O34" s="8"/>
      <c r="P34" s="8"/>
    </row>
    <row r="35" customFormat="false" ht="73.5" hidden="false" customHeight="true" outlineLevel="0" collapsed="false">
      <c r="A35" s="4" t="n">
        <v>46316</v>
      </c>
      <c r="B35" s="5" t="s">
        <v>66</v>
      </c>
      <c r="C35" s="5" t="s">
        <v>205</v>
      </c>
      <c r="D35" s="11" t="s">
        <v>67</v>
      </c>
      <c r="E35" s="5" t="s">
        <v>21</v>
      </c>
      <c r="F35" s="5" t="s">
        <v>100</v>
      </c>
      <c r="G35" s="7" t="s">
        <v>217</v>
      </c>
      <c r="H35" s="7" t="s">
        <v>218</v>
      </c>
      <c r="I35" s="7" t="s">
        <v>219</v>
      </c>
      <c r="J35" s="7" t="s">
        <v>220</v>
      </c>
      <c r="K35" s="7" t="s">
        <v>164</v>
      </c>
      <c r="L35" s="7" t="s">
        <v>221</v>
      </c>
      <c r="M35" s="8" t="s">
        <v>29</v>
      </c>
      <c r="N35" s="8"/>
      <c r="O35" s="8"/>
      <c r="P35" s="8"/>
    </row>
    <row r="36" customFormat="false" ht="73.5" hidden="false" customHeight="true" outlineLevel="0" collapsed="false">
      <c r="A36" s="4" t="n">
        <v>46317</v>
      </c>
      <c r="B36" s="5" t="s">
        <v>18</v>
      </c>
      <c r="C36" s="5" t="s">
        <v>205</v>
      </c>
      <c r="D36" s="6" t="s">
        <v>20</v>
      </c>
      <c r="E36" s="5" t="s">
        <v>32</v>
      </c>
      <c r="F36" s="5" t="s">
        <v>51</v>
      </c>
      <c r="G36" s="7" t="s">
        <v>222</v>
      </c>
      <c r="H36" s="7" t="s">
        <v>223</v>
      </c>
      <c r="I36" s="7" t="s">
        <v>224</v>
      </c>
      <c r="J36" s="7"/>
      <c r="K36" s="7" t="s">
        <v>225</v>
      </c>
      <c r="L36" s="7"/>
      <c r="M36" s="8" t="s">
        <v>29</v>
      </c>
      <c r="N36" s="8"/>
      <c r="O36" s="8"/>
      <c r="P36" s="8"/>
    </row>
    <row r="37" customFormat="false" ht="73.5" hidden="false" customHeight="true" outlineLevel="0" collapsed="false">
      <c r="A37" s="4" t="n">
        <v>46319</v>
      </c>
      <c r="B37" s="5" t="s">
        <v>40</v>
      </c>
      <c r="C37" s="5" t="s">
        <v>205</v>
      </c>
      <c r="D37" s="9" t="s">
        <v>31</v>
      </c>
      <c r="E37" s="5" t="s">
        <v>41</v>
      </c>
      <c r="F37" s="5" t="s">
        <v>22</v>
      </c>
      <c r="G37" s="7" t="s">
        <v>226</v>
      </c>
      <c r="H37" s="7" t="s">
        <v>227</v>
      </c>
      <c r="I37" s="7" t="s">
        <v>228</v>
      </c>
      <c r="J37" s="7" t="s">
        <v>229</v>
      </c>
      <c r="K37" s="7" t="s">
        <v>230</v>
      </c>
      <c r="L37" s="7" t="s">
        <v>231</v>
      </c>
      <c r="M37" s="8" t="s">
        <v>29</v>
      </c>
      <c r="N37" s="8"/>
      <c r="O37" s="8"/>
      <c r="P37" s="8"/>
    </row>
    <row r="38" customFormat="false" ht="73.5" hidden="false" customHeight="true" outlineLevel="0" collapsed="false">
      <c r="A38" s="4" t="n">
        <v>46321</v>
      </c>
      <c r="B38" s="5" t="s">
        <v>49</v>
      </c>
      <c r="C38" s="5" t="s">
        <v>232</v>
      </c>
      <c r="D38" s="9" t="s">
        <v>31</v>
      </c>
      <c r="E38" s="5" t="s">
        <v>32</v>
      </c>
      <c r="F38" s="5" t="s">
        <v>51</v>
      </c>
      <c r="G38" s="7" t="s">
        <v>233</v>
      </c>
      <c r="H38" s="7" t="s">
        <v>234</v>
      </c>
      <c r="I38" s="7" t="s">
        <v>235</v>
      </c>
      <c r="J38" s="7" t="s">
        <v>151</v>
      </c>
      <c r="K38" s="7" t="s">
        <v>236</v>
      </c>
      <c r="L38" s="7" t="s">
        <v>237</v>
      </c>
      <c r="M38" s="8" t="s">
        <v>29</v>
      </c>
      <c r="N38" s="8"/>
      <c r="O38" s="8"/>
      <c r="P38" s="8"/>
    </row>
    <row r="39" customFormat="false" ht="73.5" hidden="false" customHeight="true" outlineLevel="0" collapsed="false">
      <c r="A39" s="4" t="n">
        <v>46322</v>
      </c>
      <c r="B39" s="5" t="s">
        <v>58</v>
      </c>
      <c r="C39" s="5" t="s">
        <v>232</v>
      </c>
      <c r="D39" s="10" t="s">
        <v>59</v>
      </c>
      <c r="E39" s="5" t="s">
        <v>32</v>
      </c>
      <c r="F39" s="5" t="s">
        <v>51</v>
      </c>
      <c r="G39" s="7" t="s">
        <v>238</v>
      </c>
      <c r="H39" s="7" t="s">
        <v>239</v>
      </c>
      <c r="I39" s="7" t="s">
        <v>240</v>
      </c>
      <c r="J39" s="7" t="s">
        <v>241</v>
      </c>
      <c r="K39" s="7" t="s">
        <v>242</v>
      </c>
      <c r="L39" s="7" t="s">
        <v>243</v>
      </c>
      <c r="M39" s="8" t="s">
        <v>29</v>
      </c>
      <c r="N39" s="8"/>
      <c r="O39" s="8"/>
      <c r="P39" s="8"/>
    </row>
    <row r="40" customFormat="false" ht="73.5" hidden="false" customHeight="true" outlineLevel="0" collapsed="false">
      <c r="A40" s="4" t="n">
        <v>46323</v>
      </c>
      <c r="B40" s="5" t="s">
        <v>66</v>
      </c>
      <c r="C40" s="5" t="s">
        <v>232</v>
      </c>
      <c r="D40" s="11" t="s">
        <v>67</v>
      </c>
      <c r="E40" s="5" t="s">
        <v>21</v>
      </c>
      <c r="F40" s="5" t="s">
        <v>68</v>
      </c>
      <c r="G40" s="7" t="s">
        <v>244</v>
      </c>
      <c r="H40" s="7" t="s">
        <v>245</v>
      </c>
      <c r="I40" s="7" t="s">
        <v>246</v>
      </c>
      <c r="J40" s="7" t="s">
        <v>247</v>
      </c>
      <c r="K40" s="7" t="s">
        <v>164</v>
      </c>
      <c r="L40" s="7" t="s">
        <v>248</v>
      </c>
      <c r="M40" s="8" t="s">
        <v>29</v>
      </c>
      <c r="N40" s="8"/>
      <c r="O40" s="8"/>
      <c r="P40" s="8"/>
    </row>
    <row r="41" customFormat="false" ht="73.5" hidden="false" customHeight="true" outlineLevel="0" collapsed="false">
      <c r="A41" s="4" t="n">
        <v>46324</v>
      </c>
      <c r="B41" s="5" t="s">
        <v>18</v>
      </c>
      <c r="C41" s="5" t="s">
        <v>232</v>
      </c>
      <c r="D41" s="12" t="s">
        <v>75</v>
      </c>
      <c r="E41" s="5" t="s">
        <v>32</v>
      </c>
      <c r="F41" s="5" t="s">
        <v>22</v>
      </c>
      <c r="G41" s="7" t="s">
        <v>249</v>
      </c>
      <c r="H41" s="7" t="s">
        <v>250</v>
      </c>
      <c r="I41" s="7" t="s">
        <v>251</v>
      </c>
      <c r="J41" s="7" t="s">
        <v>252</v>
      </c>
      <c r="K41" s="7" t="s">
        <v>253</v>
      </c>
      <c r="L41" s="7"/>
      <c r="M41" s="8" t="s">
        <v>29</v>
      </c>
      <c r="N41" s="8"/>
      <c r="O41" s="8"/>
      <c r="P41" s="8"/>
    </row>
    <row r="42" customFormat="false" ht="73.5" hidden="false" customHeight="true" outlineLevel="0" collapsed="false">
      <c r="A42" s="4" t="n">
        <v>46326</v>
      </c>
      <c r="B42" s="5" t="s">
        <v>40</v>
      </c>
      <c r="C42" s="5" t="s">
        <v>232</v>
      </c>
      <c r="D42" s="9" t="s">
        <v>31</v>
      </c>
      <c r="E42" s="5" t="s">
        <v>41</v>
      </c>
      <c r="F42" s="5" t="s">
        <v>42</v>
      </c>
      <c r="G42" s="7" t="s">
        <v>254</v>
      </c>
      <c r="H42" s="7" t="s">
        <v>255</v>
      </c>
      <c r="I42" s="7" t="s">
        <v>256</v>
      </c>
      <c r="J42" s="7" t="s">
        <v>257</v>
      </c>
      <c r="K42" s="7" t="s">
        <v>258</v>
      </c>
      <c r="L42" s="7" t="s">
        <v>259</v>
      </c>
      <c r="M42" s="8" t="s">
        <v>29</v>
      </c>
      <c r="N42" s="8"/>
      <c r="O42" s="8"/>
      <c r="P42" s="8"/>
    </row>
    <row r="43" customFormat="false" ht="73.5" hidden="false" customHeight="true" outlineLevel="0" collapsed="false">
      <c r="A43" s="4" t="n">
        <v>46328</v>
      </c>
      <c r="B43" s="5" t="s">
        <v>49</v>
      </c>
      <c r="C43" s="5" t="s">
        <v>260</v>
      </c>
      <c r="D43" s="9" t="s">
        <v>31</v>
      </c>
      <c r="E43" s="5" t="s">
        <v>32</v>
      </c>
      <c r="F43" s="5" t="s">
        <v>51</v>
      </c>
      <c r="G43" s="7" t="s">
        <v>261</v>
      </c>
      <c r="H43" s="7" t="s">
        <v>262</v>
      </c>
      <c r="I43" s="7" t="s">
        <v>263</v>
      </c>
      <c r="J43" s="7" t="s">
        <v>151</v>
      </c>
      <c r="K43" s="7" t="s">
        <v>264</v>
      </c>
      <c r="L43" s="7" t="s">
        <v>265</v>
      </c>
      <c r="M43" s="8" t="s">
        <v>29</v>
      </c>
      <c r="N43" s="8"/>
      <c r="O43" s="8"/>
      <c r="P43" s="8"/>
    </row>
    <row r="44" customFormat="false" ht="73.5" hidden="false" customHeight="true" outlineLevel="0" collapsed="false">
      <c r="A44" s="4" t="n">
        <v>46329</v>
      </c>
      <c r="B44" s="5" t="s">
        <v>58</v>
      </c>
      <c r="C44" s="5" t="s">
        <v>260</v>
      </c>
      <c r="D44" s="9" t="s">
        <v>31</v>
      </c>
      <c r="E44" s="5" t="s">
        <v>32</v>
      </c>
      <c r="F44" s="5" t="s">
        <v>266</v>
      </c>
      <c r="G44" s="7" t="s">
        <v>267</v>
      </c>
      <c r="H44" s="7" t="s">
        <v>268</v>
      </c>
      <c r="I44" s="7" t="s">
        <v>269</v>
      </c>
      <c r="J44" s="7" t="s">
        <v>270</v>
      </c>
      <c r="K44" s="7" t="s">
        <v>271</v>
      </c>
      <c r="L44" s="7" t="s">
        <v>272</v>
      </c>
      <c r="M44" s="8" t="s">
        <v>29</v>
      </c>
      <c r="N44" s="8"/>
      <c r="O44" s="8"/>
      <c r="P44" s="8"/>
    </row>
    <row r="45" customFormat="false" ht="73.5" hidden="false" customHeight="true" outlineLevel="0" collapsed="false">
      <c r="A45" s="4" t="n">
        <v>46330</v>
      </c>
      <c r="B45" s="5" t="s">
        <v>66</v>
      </c>
      <c r="C45" s="5" t="s">
        <v>260</v>
      </c>
      <c r="D45" s="11" t="s">
        <v>67</v>
      </c>
      <c r="E45" s="5" t="s">
        <v>21</v>
      </c>
      <c r="F45" s="5" t="s">
        <v>100</v>
      </c>
      <c r="G45" s="7" t="s">
        <v>273</v>
      </c>
      <c r="H45" s="7" t="s">
        <v>274</v>
      </c>
      <c r="I45" s="7" t="s">
        <v>275</v>
      </c>
      <c r="J45" s="7" t="s">
        <v>276</v>
      </c>
      <c r="K45" s="7" t="s">
        <v>277</v>
      </c>
      <c r="L45" s="7"/>
      <c r="M45" s="8" t="s">
        <v>29</v>
      </c>
      <c r="N45" s="8"/>
      <c r="O45" s="8"/>
      <c r="P45" s="8"/>
    </row>
    <row r="46" customFormat="false" ht="73.5" hidden="false" customHeight="true" outlineLevel="0" collapsed="false">
      <c r="A46" s="4" t="n">
        <v>46331</v>
      </c>
      <c r="B46" s="5" t="s">
        <v>18</v>
      </c>
      <c r="C46" s="5" t="s">
        <v>260</v>
      </c>
      <c r="D46" s="12" t="s">
        <v>75</v>
      </c>
      <c r="E46" s="5" t="s">
        <v>21</v>
      </c>
      <c r="F46" s="5" t="s">
        <v>107</v>
      </c>
      <c r="G46" s="7" t="s">
        <v>278</v>
      </c>
      <c r="H46" s="7" t="s">
        <v>279</v>
      </c>
      <c r="I46" s="7" t="s">
        <v>280</v>
      </c>
      <c r="J46" s="7" t="s">
        <v>281</v>
      </c>
      <c r="K46" s="7" t="s">
        <v>282</v>
      </c>
      <c r="L46" s="7"/>
      <c r="M46" s="8" t="s">
        <v>29</v>
      </c>
      <c r="N46" s="8"/>
      <c r="O46" s="8"/>
      <c r="P46" s="8"/>
    </row>
    <row r="47" customFormat="false" ht="73.5" hidden="false" customHeight="true" outlineLevel="0" collapsed="false">
      <c r="A47" s="4" t="n">
        <v>46333</v>
      </c>
      <c r="B47" s="5" t="s">
        <v>40</v>
      </c>
      <c r="C47" s="5" t="s">
        <v>260</v>
      </c>
      <c r="D47" s="9" t="s">
        <v>31</v>
      </c>
      <c r="E47" s="5" t="s">
        <v>41</v>
      </c>
      <c r="F47" s="5" t="s">
        <v>22</v>
      </c>
      <c r="G47" s="7" t="s">
        <v>283</v>
      </c>
      <c r="H47" s="7" t="s">
        <v>284</v>
      </c>
      <c r="I47" s="7" t="s">
        <v>285</v>
      </c>
      <c r="J47" s="7" t="s">
        <v>286</v>
      </c>
      <c r="K47" s="7" t="s">
        <v>287</v>
      </c>
      <c r="L47" s="7" t="s">
        <v>288</v>
      </c>
      <c r="M47" s="8" t="s">
        <v>29</v>
      </c>
      <c r="N47" s="8"/>
      <c r="O47" s="8"/>
      <c r="P47" s="8"/>
    </row>
    <row r="48" customFormat="false" ht="73.5" hidden="false" customHeight="true" outlineLevel="0" collapsed="false">
      <c r="A48" s="4" t="n">
        <v>46335</v>
      </c>
      <c r="B48" s="5" t="s">
        <v>49</v>
      </c>
      <c r="C48" s="5" t="s">
        <v>289</v>
      </c>
      <c r="D48" s="9" t="s">
        <v>31</v>
      </c>
      <c r="E48" s="5" t="s">
        <v>32</v>
      </c>
      <c r="F48" s="5" t="s">
        <v>51</v>
      </c>
      <c r="G48" s="7" t="s">
        <v>290</v>
      </c>
      <c r="H48" s="7" t="s">
        <v>291</v>
      </c>
      <c r="I48" s="7" t="s">
        <v>292</v>
      </c>
      <c r="J48" s="7" t="s">
        <v>151</v>
      </c>
      <c r="K48" s="7" t="s">
        <v>293</v>
      </c>
      <c r="L48" s="7" t="s">
        <v>294</v>
      </c>
      <c r="M48" s="8" t="s">
        <v>29</v>
      </c>
      <c r="N48" s="8"/>
      <c r="O48" s="8"/>
      <c r="P48" s="8"/>
    </row>
    <row r="49" customFormat="false" ht="73.5" hidden="false" customHeight="true" outlineLevel="0" collapsed="false">
      <c r="A49" s="4" t="n">
        <v>46336</v>
      </c>
      <c r="B49" s="5" t="s">
        <v>58</v>
      </c>
      <c r="C49" s="5" t="s">
        <v>289</v>
      </c>
      <c r="D49" s="10" t="s">
        <v>59</v>
      </c>
      <c r="E49" s="5" t="s">
        <v>32</v>
      </c>
      <c r="F49" s="5" t="s">
        <v>51</v>
      </c>
      <c r="G49" s="7" t="s">
        <v>295</v>
      </c>
      <c r="H49" s="7" t="s">
        <v>296</v>
      </c>
      <c r="I49" s="7" t="s">
        <v>297</v>
      </c>
      <c r="J49" s="7" t="s">
        <v>298</v>
      </c>
      <c r="K49" s="7" t="s">
        <v>299</v>
      </c>
      <c r="L49" s="7" t="s">
        <v>300</v>
      </c>
      <c r="M49" s="8" t="s">
        <v>29</v>
      </c>
      <c r="N49" s="8"/>
      <c r="O49" s="8"/>
      <c r="P49" s="8"/>
    </row>
    <row r="50" customFormat="false" ht="73.5" hidden="false" customHeight="true" outlineLevel="0" collapsed="false">
      <c r="A50" s="4" t="n">
        <v>46337</v>
      </c>
      <c r="B50" s="5" t="s">
        <v>66</v>
      </c>
      <c r="C50" s="5" t="s">
        <v>289</v>
      </c>
      <c r="D50" s="11" t="s">
        <v>67</v>
      </c>
      <c r="E50" s="5" t="s">
        <v>21</v>
      </c>
      <c r="F50" s="5" t="s">
        <v>188</v>
      </c>
      <c r="G50" s="7" t="s">
        <v>301</v>
      </c>
      <c r="H50" s="7" t="s">
        <v>302</v>
      </c>
      <c r="I50" s="7" t="s">
        <v>303</v>
      </c>
      <c r="J50" s="7" t="s">
        <v>304</v>
      </c>
      <c r="K50" s="7" t="s">
        <v>305</v>
      </c>
      <c r="L50" s="7"/>
      <c r="M50" s="8" t="s">
        <v>29</v>
      </c>
      <c r="N50" s="8"/>
      <c r="O50" s="8"/>
      <c r="P50" s="8"/>
    </row>
    <row r="51" customFormat="false" ht="73.5" hidden="false" customHeight="true" outlineLevel="0" collapsed="false">
      <c r="A51" s="4" t="n">
        <v>46338</v>
      </c>
      <c r="B51" s="5" t="s">
        <v>18</v>
      </c>
      <c r="C51" s="5" t="s">
        <v>289</v>
      </c>
      <c r="D51" s="12" t="s">
        <v>75</v>
      </c>
      <c r="E51" s="5" t="s">
        <v>32</v>
      </c>
      <c r="F51" s="5" t="s">
        <v>22</v>
      </c>
      <c r="G51" s="7" t="s">
        <v>306</v>
      </c>
      <c r="H51" s="7" t="s">
        <v>307</v>
      </c>
      <c r="I51" s="7" t="s">
        <v>308</v>
      </c>
      <c r="J51" s="7" t="s">
        <v>309</v>
      </c>
      <c r="K51" s="7" t="s">
        <v>310</v>
      </c>
      <c r="L51" s="7"/>
      <c r="M51" s="8" t="s">
        <v>29</v>
      </c>
      <c r="N51" s="8"/>
      <c r="O51" s="8"/>
      <c r="P51" s="8"/>
    </row>
    <row r="52" customFormat="false" ht="73.5" hidden="false" customHeight="true" outlineLevel="0" collapsed="false">
      <c r="A52" s="4" t="n">
        <v>46340</v>
      </c>
      <c r="B52" s="5" t="s">
        <v>40</v>
      </c>
      <c r="C52" s="5" t="s">
        <v>289</v>
      </c>
      <c r="D52" s="9" t="s">
        <v>31</v>
      </c>
      <c r="E52" s="5" t="s">
        <v>41</v>
      </c>
      <c r="F52" s="5" t="s">
        <v>22</v>
      </c>
      <c r="G52" s="7" t="s">
        <v>311</v>
      </c>
      <c r="H52" s="7" t="s">
        <v>312</v>
      </c>
      <c r="I52" s="7" t="s">
        <v>313</v>
      </c>
      <c r="J52" s="7" t="s">
        <v>314</v>
      </c>
      <c r="K52" s="7" t="s">
        <v>315</v>
      </c>
      <c r="L52" s="7" t="s">
        <v>316</v>
      </c>
      <c r="M52" s="8" t="s">
        <v>29</v>
      </c>
      <c r="N52" s="8"/>
      <c r="O52" s="8"/>
      <c r="P52" s="8"/>
    </row>
    <row r="53" customFormat="false" ht="73.5" hidden="false" customHeight="true" outlineLevel="0" collapsed="false">
      <c r="A53" s="4" t="n">
        <v>46342</v>
      </c>
      <c r="B53" s="5" t="s">
        <v>49</v>
      </c>
      <c r="C53" s="5" t="s">
        <v>317</v>
      </c>
      <c r="D53" s="9" t="s">
        <v>31</v>
      </c>
      <c r="E53" s="5" t="s">
        <v>32</v>
      </c>
      <c r="F53" s="5" t="s">
        <v>100</v>
      </c>
      <c r="G53" s="7" t="s">
        <v>318</v>
      </c>
      <c r="H53" s="7" t="s">
        <v>319</v>
      </c>
      <c r="I53" s="7" t="s">
        <v>320</v>
      </c>
      <c r="J53" s="7" t="s">
        <v>151</v>
      </c>
      <c r="K53" s="7" t="s">
        <v>321</v>
      </c>
      <c r="L53" s="7" t="s">
        <v>322</v>
      </c>
      <c r="M53" s="8" t="s">
        <v>29</v>
      </c>
      <c r="N53" s="8"/>
      <c r="O53" s="8"/>
      <c r="P53" s="8"/>
    </row>
    <row r="54" customFormat="false" ht="73.5" hidden="false" customHeight="true" outlineLevel="0" collapsed="false">
      <c r="A54" s="4" t="n">
        <v>46343</v>
      </c>
      <c r="B54" s="5" t="s">
        <v>58</v>
      </c>
      <c r="C54" s="5" t="s">
        <v>317</v>
      </c>
      <c r="D54" s="13" t="s">
        <v>94</v>
      </c>
      <c r="E54" s="5" t="s">
        <v>32</v>
      </c>
      <c r="F54" s="5" t="s">
        <v>60</v>
      </c>
      <c r="G54" s="7" t="s">
        <v>323</v>
      </c>
      <c r="H54" s="7" t="s">
        <v>324</v>
      </c>
      <c r="I54" s="7" t="s">
        <v>325</v>
      </c>
      <c r="J54" s="7" t="s">
        <v>326</v>
      </c>
      <c r="K54" s="7" t="s">
        <v>327</v>
      </c>
      <c r="L54" s="7" t="s">
        <v>328</v>
      </c>
      <c r="M54" s="8" t="s">
        <v>29</v>
      </c>
      <c r="N54" s="8"/>
      <c r="O54" s="8"/>
      <c r="P54" s="8"/>
    </row>
    <row r="55" customFormat="false" ht="73.5" hidden="false" customHeight="true" outlineLevel="0" collapsed="false">
      <c r="A55" s="4" t="n">
        <v>46344</v>
      </c>
      <c r="B55" s="5" t="s">
        <v>66</v>
      </c>
      <c r="C55" s="5" t="s">
        <v>317</v>
      </c>
      <c r="D55" s="11" t="s">
        <v>67</v>
      </c>
      <c r="E55" s="5" t="s">
        <v>21</v>
      </c>
      <c r="F55" s="5" t="s">
        <v>33</v>
      </c>
      <c r="G55" s="7" t="s">
        <v>329</v>
      </c>
      <c r="H55" s="7" t="s">
        <v>330</v>
      </c>
      <c r="I55" s="7" t="s">
        <v>331</v>
      </c>
      <c r="J55" s="7" t="s">
        <v>332</v>
      </c>
      <c r="K55" s="7" t="s">
        <v>333</v>
      </c>
      <c r="L55" s="7" t="s">
        <v>334</v>
      </c>
      <c r="M55" s="8" t="s">
        <v>29</v>
      </c>
      <c r="N55" s="8"/>
      <c r="O55" s="8"/>
      <c r="P55" s="8"/>
    </row>
    <row r="56" customFormat="false" ht="73.5" hidden="false" customHeight="true" outlineLevel="0" collapsed="false">
      <c r="A56" s="4" t="n">
        <v>46345</v>
      </c>
      <c r="B56" s="5" t="s">
        <v>18</v>
      </c>
      <c r="C56" s="5" t="s">
        <v>317</v>
      </c>
      <c r="D56" s="12" t="s">
        <v>75</v>
      </c>
      <c r="E56" s="5" t="s">
        <v>32</v>
      </c>
      <c r="F56" s="5" t="s">
        <v>22</v>
      </c>
      <c r="G56" s="7" t="s">
        <v>335</v>
      </c>
      <c r="H56" s="7" t="s">
        <v>336</v>
      </c>
      <c r="I56" s="7" t="s">
        <v>337</v>
      </c>
      <c r="J56" s="7" t="s">
        <v>338</v>
      </c>
      <c r="K56" s="7" t="s">
        <v>339</v>
      </c>
      <c r="L56" s="7"/>
      <c r="M56" s="8" t="s">
        <v>29</v>
      </c>
      <c r="N56" s="8"/>
      <c r="O56" s="8"/>
      <c r="P56" s="8"/>
    </row>
    <row r="57" customFormat="false" ht="73.5" hidden="false" customHeight="true" outlineLevel="0" collapsed="false">
      <c r="A57" s="4" t="n">
        <v>46347</v>
      </c>
      <c r="B57" s="5" t="s">
        <v>40</v>
      </c>
      <c r="C57" s="5" t="s">
        <v>317</v>
      </c>
      <c r="D57" s="9" t="s">
        <v>31</v>
      </c>
      <c r="E57" s="5" t="s">
        <v>41</v>
      </c>
      <c r="F57" s="5" t="s">
        <v>22</v>
      </c>
      <c r="G57" s="7" t="s">
        <v>340</v>
      </c>
      <c r="H57" s="7" t="s">
        <v>341</v>
      </c>
      <c r="I57" s="7" t="s">
        <v>342</v>
      </c>
      <c r="J57" s="7" t="s">
        <v>343</v>
      </c>
      <c r="K57" s="7" t="s">
        <v>344</v>
      </c>
      <c r="L57" s="7" t="s">
        <v>345</v>
      </c>
      <c r="M57" s="8" t="s">
        <v>29</v>
      </c>
      <c r="N57" s="8"/>
      <c r="O57" s="8"/>
      <c r="P57" s="8"/>
    </row>
    <row r="58" customFormat="false" ht="73.5" hidden="false" customHeight="true" outlineLevel="0" collapsed="false">
      <c r="A58" s="4" t="n">
        <v>46349</v>
      </c>
      <c r="B58" s="5" t="s">
        <v>49</v>
      </c>
      <c r="C58" s="5" t="s">
        <v>346</v>
      </c>
      <c r="D58" s="9" t="s">
        <v>31</v>
      </c>
      <c r="E58" s="5" t="s">
        <v>32</v>
      </c>
      <c r="F58" s="5" t="s">
        <v>100</v>
      </c>
      <c r="G58" s="7" t="s">
        <v>347</v>
      </c>
      <c r="H58" s="7" t="s">
        <v>348</v>
      </c>
      <c r="I58" s="7" t="s">
        <v>349</v>
      </c>
      <c r="J58" s="7" t="s">
        <v>151</v>
      </c>
      <c r="K58" s="7" t="s">
        <v>350</v>
      </c>
      <c r="L58" s="7" t="s">
        <v>351</v>
      </c>
      <c r="M58" s="8" t="s">
        <v>29</v>
      </c>
      <c r="N58" s="8"/>
      <c r="O58" s="8"/>
      <c r="P58" s="8"/>
    </row>
    <row r="59" customFormat="false" ht="73.5" hidden="false" customHeight="true" outlineLevel="0" collapsed="false">
      <c r="A59" s="4" t="n">
        <v>46350</v>
      </c>
      <c r="B59" s="5" t="s">
        <v>58</v>
      </c>
      <c r="C59" s="5" t="s">
        <v>346</v>
      </c>
      <c r="D59" s="10" t="s">
        <v>59</v>
      </c>
      <c r="E59" s="5" t="s">
        <v>21</v>
      </c>
      <c r="F59" s="5" t="s">
        <v>60</v>
      </c>
      <c r="G59" s="7" t="s">
        <v>352</v>
      </c>
      <c r="H59" s="7" t="s">
        <v>353</v>
      </c>
      <c r="I59" s="7" t="s">
        <v>354</v>
      </c>
      <c r="J59" s="7" t="s">
        <v>355</v>
      </c>
      <c r="K59" s="7" t="s">
        <v>356</v>
      </c>
      <c r="L59" s="7" t="s">
        <v>357</v>
      </c>
      <c r="M59" s="8" t="s">
        <v>29</v>
      </c>
      <c r="N59" s="8"/>
      <c r="O59" s="8"/>
      <c r="P59" s="8"/>
    </row>
    <row r="60" customFormat="false" ht="73.5" hidden="false" customHeight="true" outlineLevel="0" collapsed="false">
      <c r="A60" s="4" t="n">
        <v>46351</v>
      </c>
      <c r="B60" s="5" t="s">
        <v>66</v>
      </c>
      <c r="C60" s="5" t="s">
        <v>346</v>
      </c>
      <c r="D60" s="11" t="s">
        <v>67</v>
      </c>
      <c r="E60" s="5" t="s">
        <v>21</v>
      </c>
      <c r="F60" s="5" t="s">
        <v>100</v>
      </c>
      <c r="G60" s="7" t="s">
        <v>358</v>
      </c>
      <c r="H60" s="7" t="s">
        <v>359</v>
      </c>
      <c r="I60" s="7" t="s">
        <v>360</v>
      </c>
      <c r="J60" s="7" t="s">
        <v>361</v>
      </c>
      <c r="K60" s="7" t="s">
        <v>362</v>
      </c>
      <c r="L60" s="7"/>
      <c r="M60" s="8" t="s">
        <v>29</v>
      </c>
      <c r="N60" s="8"/>
      <c r="O60" s="8"/>
      <c r="P60" s="8"/>
    </row>
    <row r="61" customFormat="false" ht="73.5" hidden="false" customHeight="true" outlineLevel="0" collapsed="false">
      <c r="A61" s="4" t="n">
        <v>46352</v>
      </c>
      <c r="B61" s="5" t="s">
        <v>18</v>
      </c>
      <c r="C61" s="5" t="s">
        <v>346</v>
      </c>
      <c r="D61" s="12" t="s">
        <v>75</v>
      </c>
      <c r="E61" s="5" t="s">
        <v>32</v>
      </c>
      <c r="F61" s="5" t="s">
        <v>51</v>
      </c>
      <c r="G61" s="7" t="s">
        <v>363</v>
      </c>
      <c r="H61" s="7" t="s">
        <v>364</v>
      </c>
      <c r="I61" s="7" t="s">
        <v>365</v>
      </c>
      <c r="J61" s="7" t="s">
        <v>366</v>
      </c>
      <c r="K61" s="7" t="s">
        <v>367</v>
      </c>
      <c r="L61" s="7" t="s">
        <v>368</v>
      </c>
      <c r="M61" s="8" t="s">
        <v>29</v>
      </c>
      <c r="N61" s="8"/>
      <c r="O61" s="8"/>
      <c r="P61" s="8"/>
    </row>
    <row r="62" customFormat="false" ht="73.5" hidden="false" customHeight="true" outlineLevel="0" collapsed="false">
      <c r="A62" s="4" t="n">
        <v>46354</v>
      </c>
      <c r="B62" s="5" t="s">
        <v>40</v>
      </c>
      <c r="C62" s="5" t="s">
        <v>346</v>
      </c>
      <c r="D62" s="9" t="s">
        <v>31</v>
      </c>
      <c r="E62" s="5" t="s">
        <v>41</v>
      </c>
      <c r="F62" s="5" t="s">
        <v>22</v>
      </c>
      <c r="G62" s="7" t="s">
        <v>369</v>
      </c>
      <c r="H62" s="7" t="s">
        <v>370</v>
      </c>
      <c r="I62" s="7" t="s">
        <v>371</v>
      </c>
      <c r="J62" s="7" t="s">
        <v>372</v>
      </c>
      <c r="K62" s="7" t="s">
        <v>373</v>
      </c>
      <c r="L62" s="7" t="s">
        <v>357</v>
      </c>
      <c r="M62" s="8" t="s">
        <v>29</v>
      </c>
      <c r="N62" s="8"/>
      <c r="O62" s="8"/>
      <c r="P62" s="8"/>
    </row>
    <row r="63" customFormat="false" ht="73.5" hidden="false" customHeight="true" outlineLevel="0" collapsed="false">
      <c r="A63" s="4" t="n">
        <v>46356</v>
      </c>
      <c r="B63" s="5" t="s">
        <v>49</v>
      </c>
      <c r="C63" s="5" t="s">
        <v>374</v>
      </c>
      <c r="D63" s="9" t="s">
        <v>31</v>
      </c>
      <c r="E63" s="5" t="s">
        <v>32</v>
      </c>
      <c r="F63" s="5" t="s">
        <v>51</v>
      </c>
      <c r="G63" s="7" t="s">
        <v>375</v>
      </c>
      <c r="H63" s="7" t="s">
        <v>376</v>
      </c>
      <c r="I63" s="7" t="s">
        <v>377</v>
      </c>
      <c r="J63" s="7" t="s">
        <v>151</v>
      </c>
      <c r="K63" s="7" t="s">
        <v>378</v>
      </c>
      <c r="L63" s="7" t="s">
        <v>379</v>
      </c>
      <c r="M63" s="8" t="s">
        <v>29</v>
      </c>
      <c r="N63" s="8"/>
      <c r="O63" s="8"/>
      <c r="P63" s="8"/>
    </row>
    <row r="64" customFormat="false" ht="73.5" hidden="false" customHeight="true" outlineLevel="0" collapsed="false">
      <c r="A64" s="4" t="n">
        <v>46357</v>
      </c>
      <c r="B64" s="5" t="s">
        <v>58</v>
      </c>
      <c r="C64" s="5" t="s">
        <v>374</v>
      </c>
      <c r="D64" s="10" t="s">
        <v>59</v>
      </c>
      <c r="E64" s="5" t="s">
        <v>32</v>
      </c>
      <c r="F64" s="5" t="s">
        <v>51</v>
      </c>
      <c r="G64" s="7" t="s">
        <v>380</v>
      </c>
      <c r="H64" s="7" t="s">
        <v>381</v>
      </c>
      <c r="I64" s="7" t="s">
        <v>382</v>
      </c>
      <c r="J64" s="7" t="s">
        <v>383</v>
      </c>
      <c r="K64" s="7" t="s">
        <v>384</v>
      </c>
      <c r="L64" s="7" t="s">
        <v>385</v>
      </c>
      <c r="M64" s="8" t="s">
        <v>29</v>
      </c>
      <c r="N64" s="8"/>
      <c r="O64" s="8"/>
      <c r="P64" s="8"/>
    </row>
    <row r="65" customFormat="false" ht="73.5" hidden="false" customHeight="true" outlineLevel="0" collapsed="false">
      <c r="A65" s="4" t="n">
        <v>46358</v>
      </c>
      <c r="B65" s="5" t="s">
        <v>66</v>
      </c>
      <c r="C65" s="5" t="s">
        <v>374</v>
      </c>
      <c r="D65" s="11" t="s">
        <v>67</v>
      </c>
      <c r="E65" s="5" t="s">
        <v>21</v>
      </c>
      <c r="F65" s="5" t="s">
        <v>68</v>
      </c>
      <c r="G65" s="7" t="s">
        <v>386</v>
      </c>
      <c r="H65" s="7" t="s">
        <v>387</v>
      </c>
      <c r="I65" s="7" t="s">
        <v>388</v>
      </c>
      <c r="J65" s="7" t="s">
        <v>389</v>
      </c>
      <c r="K65" s="7" t="s">
        <v>390</v>
      </c>
      <c r="L65" s="7" t="s">
        <v>391</v>
      </c>
      <c r="M65" s="8" t="s">
        <v>29</v>
      </c>
      <c r="N65" s="8"/>
      <c r="O65" s="8"/>
      <c r="P65" s="8"/>
    </row>
    <row r="66" customFormat="false" ht="73.5" hidden="false" customHeight="true" outlineLevel="0" collapsed="false">
      <c r="A66" s="4" t="n">
        <v>46359</v>
      </c>
      <c r="B66" s="5" t="s">
        <v>18</v>
      </c>
      <c r="C66" s="5" t="s">
        <v>374</v>
      </c>
      <c r="D66" s="12" t="s">
        <v>75</v>
      </c>
      <c r="E66" s="5" t="s">
        <v>32</v>
      </c>
      <c r="F66" s="5" t="s">
        <v>22</v>
      </c>
      <c r="G66" s="7" t="s">
        <v>392</v>
      </c>
      <c r="H66" s="7" t="s">
        <v>393</v>
      </c>
      <c r="I66" s="7" t="s">
        <v>394</v>
      </c>
      <c r="J66" s="7" t="s">
        <v>395</v>
      </c>
      <c r="K66" s="7" t="s">
        <v>396</v>
      </c>
      <c r="L66" s="7"/>
      <c r="M66" s="8" t="s">
        <v>29</v>
      </c>
      <c r="N66" s="8"/>
      <c r="O66" s="8"/>
      <c r="P66" s="8"/>
    </row>
    <row r="67" customFormat="false" ht="73.5" hidden="false" customHeight="true" outlineLevel="0" collapsed="false">
      <c r="A67" s="4" t="n">
        <v>46361</v>
      </c>
      <c r="B67" s="5" t="s">
        <v>40</v>
      </c>
      <c r="C67" s="5" t="s">
        <v>374</v>
      </c>
      <c r="D67" s="9" t="s">
        <v>31</v>
      </c>
      <c r="E67" s="5" t="s">
        <v>41</v>
      </c>
      <c r="F67" s="5" t="s">
        <v>181</v>
      </c>
      <c r="G67" s="7" t="s">
        <v>397</v>
      </c>
      <c r="H67" s="7" t="s">
        <v>398</v>
      </c>
      <c r="I67" s="7" t="s">
        <v>399</v>
      </c>
      <c r="J67" s="7" t="s">
        <v>400</v>
      </c>
      <c r="K67" s="7" t="s">
        <v>401</v>
      </c>
      <c r="L67" s="7" t="s">
        <v>402</v>
      </c>
      <c r="M67" s="8" t="s">
        <v>29</v>
      </c>
      <c r="N67" s="8"/>
      <c r="O67" s="8"/>
      <c r="P67" s="8"/>
    </row>
    <row r="68" customFormat="false" ht="73.5" hidden="false" customHeight="true" outlineLevel="0" collapsed="false">
      <c r="A68" s="4" t="n">
        <v>46363</v>
      </c>
      <c r="B68" s="5" t="s">
        <v>49</v>
      </c>
      <c r="C68" s="5" t="s">
        <v>403</v>
      </c>
      <c r="D68" s="9" t="s">
        <v>31</v>
      </c>
      <c r="E68" s="5" t="s">
        <v>32</v>
      </c>
      <c r="F68" s="5" t="s">
        <v>51</v>
      </c>
      <c r="G68" s="7" t="s">
        <v>404</v>
      </c>
      <c r="H68" s="7" t="s">
        <v>405</v>
      </c>
      <c r="I68" s="7" t="s">
        <v>406</v>
      </c>
      <c r="J68" s="7" t="s">
        <v>151</v>
      </c>
      <c r="K68" s="7" t="s">
        <v>407</v>
      </c>
      <c r="L68" s="7" t="s">
        <v>408</v>
      </c>
      <c r="M68" s="8" t="s">
        <v>29</v>
      </c>
      <c r="N68" s="8"/>
      <c r="O68" s="8"/>
      <c r="P68" s="8"/>
    </row>
    <row r="69" customFormat="false" ht="73.5" hidden="false" customHeight="true" outlineLevel="0" collapsed="false">
      <c r="A69" s="4" t="n">
        <v>46364</v>
      </c>
      <c r="B69" s="5" t="s">
        <v>58</v>
      </c>
      <c r="C69" s="5" t="s">
        <v>403</v>
      </c>
      <c r="D69" s="10" t="s">
        <v>59</v>
      </c>
      <c r="E69" s="5" t="s">
        <v>32</v>
      </c>
      <c r="F69" s="5" t="s">
        <v>51</v>
      </c>
      <c r="G69" s="7" t="s">
        <v>409</v>
      </c>
      <c r="H69" s="7" t="s">
        <v>410</v>
      </c>
      <c r="I69" s="7" t="s">
        <v>411</v>
      </c>
      <c r="J69" s="7" t="s">
        <v>412</v>
      </c>
      <c r="K69" s="7" t="s">
        <v>413</v>
      </c>
      <c r="L69" s="7" t="s">
        <v>414</v>
      </c>
      <c r="M69" s="8" t="s">
        <v>29</v>
      </c>
      <c r="N69" s="8"/>
      <c r="O69" s="8"/>
      <c r="P69" s="8"/>
    </row>
    <row r="70" customFormat="false" ht="73.5" hidden="false" customHeight="true" outlineLevel="0" collapsed="false">
      <c r="A70" s="4" t="n">
        <v>46365</v>
      </c>
      <c r="B70" s="5" t="s">
        <v>66</v>
      </c>
      <c r="C70" s="5" t="s">
        <v>403</v>
      </c>
      <c r="D70" s="11" t="s">
        <v>67</v>
      </c>
      <c r="E70" s="5" t="s">
        <v>21</v>
      </c>
      <c r="F70" s="5" t="s">
        <v>188</v>
      </c>
      <c r="G70" s="7" t="s">
        <v>415</v>
      </c>
      <c r="H70" s="7" t="s">
        <v>416</v>
      </c>
      <c r="I70" s="7" t="s">
        <v>417</v>
      </c>
      <c r="J70" s="7" t="s">
        <v>418</v>
      </c>
      <c r="K70" s="7" t="s">
        <v>419</v>
      </c>
      <c r="L70" s="7" t="s">
        <v>420</v>
      </c>
      <c r="M70" s="8" t="s">
        <v>29</v>
      </c>
      <c r="N70" s="8"/>
      <c r="O70" s="8"/>
      <c r="P70" s="8"/>
    </row>
    <row r="71" customFormat="false" ht="73.5" hidden="false" customHeight="true" outlineLevel="0" collapsed="false">
      <c r="A71" s="4" t="n">
        <v>46366</v>
      </c>
      <c r="B71" s="5" t="s">
        <v>18</v>
      </c>
      <c r="C71" s="5" t="s">
        <v>403</v>
      </c>
      <c r="D71" s="12" t="s">
        <v>75</v>
      </c>
      <c r="E71" s="5" t="s">
        <v>32</v>
      </c>
      <c r="F71" s="5" t="s">
        <v>51</v>
      </c>
      <c r="G71" s="7" t="s">
        <v>421</v>
      </c>
      <c r="H71" s="7" t="s">
        <v>422</v>
      </c>
      <c r="I71" s="7" t="s">
        <v>423</v>
      </c>
      <c r="J71" s="7" t="s">
        <v>424</v>
      </c>
      <c r="K71" s="7" t="s">
        <v>425</v>
      </c>
      <c r="L71" s="7" t="s">
        <v>426</v>
      </c>
      <c r="M71" s="8" t="s">
        <v>29</v>
      </c>
      <c r="N71" s="8"/>
      <c r="O71" s="8"/>
      <c r="P71" s="8"/>
    </row>
    <row r="72" customFormat="false" ht="73.5" hidden="false" customHeight="true" outlineLevel="0" collapsed="false">
      <c r="A72" s="4" t="n">
        <v>46368</v>
      </c>
      <c r="B72" s="5" t="s">
        <v>40</v>
      </c>
      <c r="C72" s="5" t="s">
        <v>403</v>
      </c>
      <c r="D72" s="9" t="s">
        <v>31</v>
      </c>
      <c r="E72" s="5" t="s">
        <v>41</v>
      </c>
      <c r="F72" s="5" t="s">
        <v>22</v>
      </c>
      <c r="G72" s="7" t="s">
        <v>427</v>
      </c>
      <c r="H72" s="7" t="s">
        <v>428</v>
      </c>
      <c r="I72" s="7" t="s">
        <v>429</v>
      </c>
      <c r="J72" s="7" t="s">
        <v>430</v>
      </c>
      <c r="K72" s="7" t="s">
        <v>431</v>
      </c>
      <c r="L72" s="7" t="s">
        <v>432</v>
      </c>
      <c r="M72" s="8" t="s">
        <v>29</v>
      </c>
      <c r="N72" s="8"/>
      <c r="O72" s="8"/>
      <c r="P72" s="8"/>
    </row>
    <row r="74" customFormat="false" ht="15" hidden="false" customHeight="false" outlineLevel="0" collapsed="false">
      <c r="A74" s="14" t="s">
        <v>433</v>
      </c>
    </row>
    <row r="75" customFormat="false" ht="15" hidden="false" customHeight="false" outlineLevel="0" collapsed="false">
      <c r="A75" s="15" t="s">
        <v>31</v>
      </c>
      <c r="B75" s="16" t="n">
        <f aca="false">COUNTIF(D$5:D$72,A75)</f>
        <v>29</v>
      </c>
      <c r="C75" s="17" t="n">
        <f aca="false">B75/COUNTA(D$5:D$72)</f>
        <v>0.426470588235294</v>
      </c>
      <c r="D75" s="18" t="s">
        <v>434</v>
      </c>
    </row>
    <row r="76" customFormat="false" ht="15" hidden="false" customHeight="false" outlineLevel="0" collapsed="false">
      <c r="A76" s="19" t="s">
        <v>67</v>
      </c>
      <c r="B76" s="16" t="n">
        <f aca="false">COUNTIF(D$5:D$72,A76)</f>
        <v>13</v>
      </c>
      <c r="C76" s="17" t="n">
        <f aca="false">B76/COUNTA(D$5:D$72)</f>
        <v>0.191176470588235</v>
      </c>
      <c r="D76" s="18" t="s">
        <v>435</v>
      </c>
    </row>
    <row r="77" customFormat="false" ht="15" hidden="false" customHeight="false" outlineLevel="0" collapsed="false">
      <c r="A77" s="20" t="s">
        <v>75</v>
      </c>
      <c r="B77" s="16" t="n">
        <f aca="false">COUNTIF(D$5:D$72,A77)</f>
        <v>12</v>
      </c>
      <c r="C77" s="17" t="n">
        <f aca="false">B77/COUNTA(D$5:D$72)</f>
        <v>0.176470588235294</v>
      </c>
      <c r="D77" s="18" t="s">
        <v>436</v>
      </c>
    </row>
    <row r="78" customFormat="false" ht="15" hidden="false" customHeight="false" outlineLevel="0" collapsed="false">
      <c r="A78" s="21" t="s">
        <v>59</v>
      </c>
      <c r="B78" s="16" t="n">
        <f aca="false">COUNTIF(D$5:D$72,A78)</f>
        <v>9</v>
      </c>
      <c r="C78" s="17" t="n">
        <f aca="false">B78/COUNTA(D$5:D$72)</f>
        <v>0.132352941176471</v>
      </c>
      <c r="D78" s="18" t="s">
        <v>437</v>
      </c>
    </row>
    <row r="79" customFormat="false" ht="15" hidden="false" customHeight="false" outlineLevel="0" collapsed="false">
      <c r="A79" s="22" t="s">
        <v>94</v>
      </c>
      <c r="B79" s="16" t="n">
        <f aca="false">COUNTIF(D$5:D$72,A79)</f>
        <v>3</v>
      </c>
      <c r="C79" s="17" t="n">
        <f aca="false">B79/COUNTA(D$5:D$72)</f>
        <v>0.0441176470588235</v>
      </c>
      <c r="D79" s="18" t="s">
        <v>438</v>
      </c>
    </row>
    <row r="80" customFormat="false" ht="15" hidden="false" customHeight="false" outlineLevel="0" collapsed="false">
      <c r="A80" s="23" t="s">
        <v>20</v>
      </c>
      <c r="B80" s="16" t="n">
        <f aca="false">COUNTIF(D$5:D$72,A80)</f>
        <v>2</v>
      </c>
      <c r="C80" s="17" t="n">
        <f aca="false">B80/COUNTA(D$5:D$72)</f>
        <v>0.0294117647058824</v>
      </c>
      <c r="D80" s="18" t="s">
        <v>439</v>
      </c>
    </row>
    <row r="81" customFormat="false" ht="15" hidden="false" customHeight="false" outlineLevel="0" collapsed="false">
      <c r="A81" s="24" t="s">
        <v>440</v>
      </c>
      <c r="B81" s="24" t="n">
        <f aca="false">COUNTA(D$5:D$72)</f>
        <v>68</v>
      </c>
    </row>
    <row r="83" customFormat="false" ht="15" hidden="false" customHeight="false" outlineLevel="0" collapsed="false">
      <c r="A83" s="24" t="s">
        <v>441</v>
      </c>
      <c r="B83" s="16" t="n">
        <f aca="false">COUNTIF(N$5:N$72,"Yes")</f>
        <v>0</v>
      </c>
    </row>
    <row r="84" customFormat="false" ht="15" hidden="false" customHeight="false" outlineLevel="0" collapsed="false">
      <c r="A84" s="24" t="s">
        <v>442</v>
      </c>
      <c r="B84" s="16" t="n">
        <f aca="false">IFERROR(AVERAGE(O$5:O$72),0)</f>
        <v>0</v>
      </c>
    </row>
    <row r="85" customFormat="false" ht="15" hidden="false" customHeight="false" outlineLevel="0" collapsed="false">
      <c r="A85" s="24" t="s">
        <v>443</v>
      </c>
      <c r="B85" s="16" t="n">
        <f aca="false">SUM(P$5:P$72)</f>
        <v>0</v>
      </c>
    </row>
  </sheetData>
  <autoFilter ref="A4:P72"/>
  <mergeCells count="2">
    <mergeCell ref="A1:P1"/>
    <mergeCell ref="A2:P2"/>
  </mergeCells>
  <dataValidations count="2">
    <dataValidation allowBlank="true" errorStyle="stop" operator="between" showDropDown="false" showErrorMessage="false" showInputMessage="false" sqref="M5:M72" type="list">
      <formula1>"Not started,Assets needed,Drafting,Awaiting approval,Scheduled,Published"</formula1>
      <formula2>0</formula2>
    </dataValidation>
    <dataValidation allowBlank="true" errorStyle="stop" operator="between" showDropDown="false" showErrorMessage="false" showInputMessage="false" sqref="N5:N7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17"/>
    <col collapsed="false" customWidth="true" hidden="false" outlineLevel="0" max="4" min="4" style="0" width="26"/>
    <col collapsed="false" customWidth="true" hidden="false" outlineLevel="0" max="9" min="5" style="0" width="7"/>
    <col collapsed="false" customWidth="true" hidden="false" outlineLevel="0" max="10" min="10" style="0" width="32"/>
    <col collapsed="false" customWidth="true" hidden="false" outlineLevel="0" max="11" min="11" style="0" width="44"/>
  </cols>
  <sheetData>
    <row r="1" customFormat="false" ht="18.55" hidden="false" customHeight="false" outlineLevel="0" collapsed="false">
      <c r="A1" s="25" t="s">
        <v>444</v>
      </c>
      <c r="B1" s="25"/>
      <c r="C1" s="25"/>
      <c r="D1" s="25"/>
      <c r="E1" s="25"/>
      <c r="F1" s="25"/>
      <c r="G1" s="25"/>
      <c r="H1" s="25"/>
      <c r="I1" s="25"/>
      <c r="J1" s="25"/>
      <c r="K1" s="25"/>
    </row>
    <row r="2" customFormat="false" ht="15" hidden="false" customHeight="false" outlineLevel="0" collapsed="false">
      <c r="A2" s="2" t="s">
        <v>445</v>
      </c>
      <c r="B2" s="2"/>
      <c r="C2" s="2"/>
      <c r="D2" s="2"/>
      <c r="E2" s="2"/>
      <c r="F2" s="2"/>
      <c r="G2" s="2"/>
      <c r="H2" s="2"/>
      <c r="I2" s="2"/>
      <c r="J2" s="2"/>
      <c r="K2" s="2"/>
    </row>
    <row r="4" customFormat="false" ht="30" hidden="false" customHeight="true" outlineLevel="0" collapsed="false">
      <c r="A4" s="3" t="s">
        <v>446</v>
      </c>
      <c r="B4" s="3" t="s">
        <v>447</v>
      </c>
      <c r="C4" s="3" t="s">
        <v>448</v>
      </c>
      <c r="D4" s="3" t="s">
        <v>449</v>
      </c>
      <c r="E4" s="3" t="s">
        <v>450</v>
      </c>
      <c r="F4" s="3" t="s">
        <v>451</v>
      </c>
      <c r="G4" s="3" t="s">
        <v>452</v>
      </c>
      <c r="H4" s="3" t="s">
        <v>453</v>
      </c>
      <c r="I4" s="3" t="s">
        <v>454</v>
      </c>
      <c r="J4" s="3" t="s">
        <v>455</v>
      </c>
      <c r="K4" s="3" t="s">
        <v>456</v>
      </c>
    </row>
    <row r="5" customFormat="false" ht="30" hidden="false" customHeight="true" outlineLevel="0" collapsed="false">
      <c r="A5" s="5" t="s">
        <v>457</v>
      </c>
      <c r="B5" s="5" t="s">
        <v>458</v>
      </c>
      <c r="C5" s="5" t="s">
        <v>459</v>
      </c>
      <c r="D5" s="7" t="s">
        <v>460</v>
      </c>
      <c r="E5" s="5" t="s">
        <v>461</v>
      </c>
      <c r="F5" s="5" t="n">
        <v>5</v>
      </c>
      <c r="G5" s="26" t="n">
        <v>120</v>
      </c>
      <c r="H5" s="26" t="n">
        <v>450</v>
      </c>
      <c r="I5" s="26" t="n">
        <v>230</v>
      </c>
      <c r="J5" s="7" t="s">
        <v>462</v>
      </c>
      <c r="K5" s="7" t="s">
        <v>463</v>
      </c>
    </row>
    <row r="6" customFormat="false" ht="30" hidden="false" customHeight="true" outlineLevel="0" collapsed="false">
      <c r="A6" s="5" t="s">
        <v>464</v>
      </c>
      <c r="B6" s="5" t="s">
        <v>465</v>
      </c>
      <c r="C6" s="5" t="s">
        <v>466</v>
      </c>
      <c r="D6" s="7" t="s">
        <v>466</v>
      </c>
      <c r="E6" s="5" t="s">
        <v>467</v>
      </c>
      <c r="F6" s="5" t="n">
        <v>4</v>
      </c>
      <c r="G6" s="26" t="n">
        <v>60</v>
      </c>
      <c r="H6" s="26" t="n">
        <v>350</v>
      </c>
      <c r="I6" s="26" t="n">
        <v>175</v>
      </c>
      <c r="J6" s="7" t="s">
        <v>468</v>
      </c>
      <c r="K6" s="7" t="s">
        <v>469</v>
      </c>
    </row>
    <row r="7" customFormat="false" ht="30" hidden="false" customHeight="true" outlineLevel="0" collapsed="false">
      <c r="A7" s="5" t="s">
        <v>470</v>
      </c>
      <c r="B7" s="5" t="s">
        <v>471</v>
      </c>
      <c r="C7" s="5" t="s">
        <v>472</v>
      </c>
      <c r="D7" s="7" t="s">
        <v>473</v>
      </c>
      <c r="E7" s="5" t="s">
        <v>474</v>
      </c>
      <c r="F7" s="5" t="n">
        <v>8</v>
      </c>
      <c r="G7" s="26" t="n">
        <v>100</v>
      </c>
      <c r="H7" s="26" t="n">
        <v>500</v>
      </c>
      <c r="I7" s="26" t="n">
        <v>323</v>
      </c>
      <c r="J7" s="7" t="s">
        <v>475</v>
      </c>
      <c r="K7" s="7" t="s">
        <v>476</v>
      </c>
    </row>
    <row r="8" customFormat="false" ht="30" hidden="false" customHeight="true" outlineLevel="0" collapsed="false">
      <c r="A8" s="5" t="s">
        <v>477</v>
      </c>
      <c r="B8" s="5" t="s">
        <v>478</v>
      </c>
      <c r="C8" s="5" t="s">
        <v>479</v>
      </c>
      <c r="D8" s="7" t="s">
        <v>479</v>
      </c>
      <c r="E8" s="5" t="s">
        <v>461</v>
      </c>
      <c r="F8" s="5" t="n">
        <v>6</v>
      </c>
      <c r="G8" s="26" t="n">
        <v>90</v>
      </c>
      <c r="H8" s="26" t="n">
        <v>450</v>
      </c>
      <c r="I8" s="26" t="n">
        <v>220</v>
      </c>
      <c r="J8" s="7" t="s">
        <v>480</v>
      </c>
      <c r="K8" s="7" t="s">
        <v>481</v>
      </c>
    </row>
    <row r="9" customFormat="false" ht="30" hidden="false" customHeight="true" outlineLevel="0" collapsed="false">
      <c r="A9" s="5" t="s">
        <v>482</v>
      </c>
      <c r="B9" s="5" t="s">
        <v>483</v>
      </c>
      <c r="C9" s="5" t="s">
        <v>484</v>
      </c>
      <c r="D9" s="7" t="s">
        <v>484</v>
      </c>
      <c r="E9" s="5" t="s">
        <v>485</v>
      </c>
      <c r="F9" s="5" t="n">
        <v>8</v>
      </c>
      <c r="G9" s="26" t="n">
        <v>150</v>
      </c>
      <c r="H9" s="26" t="n">
        <v>780</v>
      </c>
      <c r="I9" s="26" t="n">
        <v>455</v>
      </c>
      <c r="J9" s="7" t="s">
        <v>486</v>
      </c>
      <c r="K9" s="7" t="s">
        <v>487</v>
      </c>
    </row>
    <row r="10" customFormat="false" ht="30" hidden="false" customHeight="true" outlineLevel="0" collapsed="false">
      <c r="A10" s="5" t="s">
        <v>488</v>
      </c>
      <c r="B10" s="5" t="s">
        <v>489</v>
      </c>
      <c r="C10" s="5" t="s">
        <v>490</v>
      </c>
      <c r="D10" s="7" t="s">
        <v>491</v>
      </c>
      <c r="E10" s="5" t="s">
        <v>461</v>
      </c>
      <c r="F10" s="5" t="n">
        <v>6</v>
      </c>
      <c r="G10" s="26" t="n">
        <v>200</v>
      </c>
      <c r="H10" s="26" t="n">
        <v>450</v>
      </c>
      <c r="I10" s="26" t="n">
        <v>340</v>
      </c>
      <c r="J10" s="7" t="s">
        <v>492</v>
      </c>
      <c r="K10" s="7" t="s">
        <v>493</v>
      </c>
    </row>
    <row r="11" customFormat="false" ht="30" hidden="false" customHeight="true" outlineLevel="0" collapsed="false">
      <c r="A11" s="5" t="s">
        <v>494</v>
      </c>
      <c r="B11" s="5" t="s">
        <v>495</v>
      </c>
      <c r="C11" s="5" t="s">
        <v>496</v>
      </c>
      <c r="D11" s="7" t="s">
        <v>497</v>
      </c>
      <c r="E11" s="5" t="s">
        <v>467</v>
      </c>
      <c r="F11" s="5" t="n">
        <v>4</v>
      </c>
      <c r="G11" s="26" t="n">
        <v>165</v>
      </c>
      <c r="H11" s="26" t="n">
        <v>350</v>
      </c>
      <c r="I11" s="26" t="n">
        <v>226</v>
      </c>
      <c r="J11" s="7" t="s">
        <v>498</v>
      </c>
      <c r="K11" s="7" t="s">
        <v>499</v>
      </c>
    </row>
    <row r="12" customFormat="false" ht="30" hidden="false" customHeight="true" outlineLevel="0" collapsed="false">
      <c r="A12" s="5" t="s">
        <v>500</v>
      </c>
      <c r="B12" s="5" t="s">
        <v>501</v>
      </c>
      <c r="C12" s="5" t="s">
        <v>502</v>
      </c>
      <c r="D12" s="7" t="s">
        <v>503</v>
      </c>
      <c r="E12" s="5" t="s">
        <v>461</v>
      </c>
      <c r="F12" s="5" t="n">
        <v>5</v>
      </c>
      <c r="G12" s="26" t="n">
        <v>150</v>
      </c>
      <c r="H12" s="26" t="n">
        <v>350</v>
      </c>
      <c r="I12" s="26" t="n">
        <v>250</v>
      </c>
      <c r="J12" s="7" t="s">
        <v>504</v>
      </c>
      <c r="K12" s="7" t="s">
        <v>505</v>
      </c>
    </row>
    <row r="13" customFormat="false" ht="30" hidden="false" customHeight="true" outlineLevel="0" collapsed="false">
      <c r="A13" s="5" t="s">
        <v>506</v>
      </c>
      <c r="B13" s="5" t="s">
        <v>507</v>
      </c>
      <c r="C13" s="5" t="s">
        <v>508</v>
      </c>
      <c r="D13" s="7" t="s">
        <v>509</v>
      </c>
      <c r="E13" s="5" t="s">
        <v>467</v>
      </c>
      <c r="F13" s="5" t="n">
        <v>4</v>
      </c>
      <c r="G13" s="26" t="n">
        <v>100</v>
      </c>
      <c r="H13" s="26" t="n">
        <v>250</v>
      </c>
      <c r="I13" s="26" t="n">
        <v>160</v>
      </c>
      <c r="J13" s="7" t="s">
        <v>510</v>
      </c>
      <c r="K13" s="7" t="s">
        <v>511</v>
      </c>
    </row>
    <row r="14" customFormat="false" ht="30" hidden="false" customHeight="true" outlineLevel="0" collapsed="false">
      <c r="A14" s="5" t="s">
        <v>512</v>
      </c>
      <c r="B14" s="5" t="s">
        <v>513</v>
      </c>
      <c r="C14" s="5" t="s">
        <v>514</v>
      </c>
      <c r="D14" s="7" t="s">
        <v>515</v>
      </c>
      <c r="E14" s="5" t="s">
        <v>467</v>
      </c>
      <c r="F14" s="5" t="n">
        <v>4</v>
      </c>
      <c r="G14" s="26" t="n">
        <v>85</v>
      </c>
      <c r="H14" s="26" t="n">
        <v>250</v>
      </c>
      <c r="I14" s="26" t="n">
        <v>160</v>
      </c>
      <c r="J14" s="7" t="s">
        <v>516</v>
      </c>
      <c r="K14" s="7" t="s">
        <v>517</v>
      </c>
    </row>
    <row r="15" customFormat="false" ht="30" hidden="false" customHeight="true" outlineLevel="0" collapsed="false">
      <c r="A15" s="5" t="s">
        <v>518</v>
      </c>
      <c r="B15" s="5" t="s">
        <v>519</v>
      </c>
      <c r="C15" s="5" t="s">
        <v>520</v>
      </c>
      <c r="D15" s="7" t="s">
        <v>521</v>
      </c>
      <c r="E15" s="5" t="s">
        <v>461</v>
      </c>
      <c r="F15" s="5" t="n">
        <v>6</v>
      </c>
      <c r="G15" s="26" t="n">
        <v>120</v>
      </c>
      <c r="H15" s="26" t="n">
        <v>400</v>
      </c>
      <c r="I15" s="26" t="n">
        <v>260</v>
      </c>
      <c r="J15" s="7" t="s">
        <v>522</v>
      </c>
      <c r="K15" s="7" t="s">
        <v>523</v>
      </c>
    </row>
    <row r="16" customFormat="false" ht="30" hidden="false" customHeight="true" outlineLevel="0" collapsed="false">
      <c r="A16" s="5" t="s">
        <v>524</v>
      </c>
      <c r="B16" s="5" t="s">
        <v>525</v>
      </c>
      <c r="C16" s="5" t="s">
        <v>526</v>
      </c>
      <c r="D16" s="7" t="s">
        <v>526</v>
      </c>
      <c r="E16" s="5" t="s">
        <v>461</v>
      </c>
      <c r="F16" s="5" t="n">
        <v>6</v>
      </c>
      <c r="G16" s="26" t="n">
        <v>100</v>
      </c>
      <c r="H16" s="26" t="n">
        <v>400</v>
      </c>
      <c r="I16" s="26" t="n">
        <v>270</v>
      </c>
      <c r="J16" s="7" t="s">
        <v>527</v>
      </c>
      <c r="K16" s="7" t="s">
        <v>528</v>
      </c>
    </row>
    <row r="17" customFormat="false" ht="30" hidden="false" customHeight="true" outlineLevel="0" collapsed="false">
      <c r="A17" s="5" t="s">
        <v>529</v>
      </c>
      <c r="B17" s="5" t="s">
        <v>530</v>
      </c>
      <c r="C17" s="5" t="s">
        <v>531</v>
      </c>
      <c r="D17" s="7" t="s">
        <v>531</v>
      </c>
      <c r="E17" s="5" t="s">
        <v>461</v>
      </c>
      <c r="F17" s="5" t="n">
        <v>6</v>
      </c>
      <c r="G17" s="26" t="n">
        <v>110</v>
      </c>
      <c r="H17" s="26" t="n">
        <v>380</v>
      </c>
      <c r="I17" s="26" t="n">
        <v>235</v>
      </c>
      <c r="J17" s="7" t="s">
        <v>532</v>
      </c>
      <c r="K17" s="7" t="s">
        <v>533</v>
      </c>
    </row>
    <row r="18" customFormat="false" ht="30" hidden="false" customHeight="true" outlineLevel="0" collapsed="false">
      <c r="A18" s="5" t="s">
        <v>534</v>
      </c>
      <c r="B18" s="5" t="s">
        <v>535</v>
      </c>
      <c r="C18" s="5" t="s">
        <v>536</v>
      </c>
      <c r="D18" s="7" t="s">
        <v>537</v>
      </c>
      <c r="E18" s="5" t="s">
        <v>467</v>
      </c>
      <c r="F18" s="5" t="n">
        <v>4</v>
      </c>
      <c r="G18" s="26" t="n">
        <v>400</v>
      </c>
      <c r="H18" s="26" t="n">
        <v>800</v>
      </c>
      <c r="I18" s="26" t="n">
        <v>475</v>
      </c>
      <c r="J18" s="7" t="s">
        <v>538</v>
      </c>
      <c r="K18" s="7" t="s">
        <v>539</v>
      </c>
    </row>
    <row r="19" customFormat="false" ht="30" hidden="false" customHeight="true" outlineLevel="0" collapsed="false">
      <c r="A19" s="5" t="s">
        <v>540</v>
      </c>
      <c r="B19" s="5" t="s">
        <v>541</v>
      </c>
      <c r="C19" s="5" t="s">
        <v>542</v>
      </c>
      <c r="D19" s="7" t="s">
        <v>543</v>
      </c>
      <c r="E19" s="5" t="s">
        <v>467</v>
      </c>
      <c r="F19" s="5" t="n">
        <v>4</v>
      </c>
      <c r="G19" s="26" t="n">
        <v>130</v>
      </c>
      <c r="H19" s="26" t="n">
        <v>350</v>
      </c>
      <c r="I19" s="26" t="n">
        <v>190</v>
      </c>
      <c r="J19" s="7" t="s">
        <v>544</v>
      </c>
      <c r="K19" s="7" t="s">
        <v>545</v>
      </c>
    </row>
    <row r="20" customFormat="false" ht="30" hidden="false" customHeight="true" outlineLevel="0" collapsed="false">
      <c r="A20" s="5" t="s">
        <v>546</v>
      </c>
      <c r="B20" s="5" t="s">
        <v>547</v>
      </c>
      <c r="C20" s="5" t="s">
        <v>548</v>
      </c>
      <c r="D20" s="7" t="s">
        <v>549</v>
      </c>
      <c r="E20" s="5" t="s">
        <v>467</v>
      </c>
      <c r="F20" s="5" t="n">
        <v>4</v>
      </c>
      <c r="G20" s="26" t="n">
        <v>120</v>
      </c>
      <c r="H20" s="26" t="n">
        <v>350</v>
      </c>
      <c r="I20" s="26" t="n">
        <v>190</v>
      </c>
      <c r="J20" s="7" t="s">
        <v>550</v>
      </c>
      <c r="K20" s="7" t="s">
        <v>551</v>
      </c>
    </row>
    <row r="21" customFormat="false" ht="30" hidden="false" customHeight="true" outlineLevel="0" collapsed="false">
      <c r="A21" s="5" t="s">
        <v>552</v>
      </c>
      <c r="B21" s="5" t="s">
        <v>553</v>
      </c>
      <c r="C21" s="5" t="s">
        <v>484</v>
      </c>
      <c r="D21" s="7" t="s">
        <v>484</v>
      </c>
      <c r="E21" s="5" t="s">
        <v>467</v>
      </c>
      <c r="F21" s="5" t="n">
        <v>4</v>
      </c>
      <c r="G21" s="26" t="n">
        <v>105</v>
      </c>
      <c r="H21" s="26" t="n">
        <v>300</v>
      </c>
      <c r="I21" s="26" t="n">
        <v>180</v>
      </c>
      <c r="J21" s="7" t="s">
        <v>554</v>
      </c>
      <c r="K21" s="7" t="s">
        <v>555</v>
      </c>
    </row>
    <row r="22" customFormat="false" ht="30" hidden="false" customHeight="true" outlineLevel="0" collapsed="false">
      <c r="A22" s="5" t="s">
        <v>556</v>
      </c>
      <c r="B22" s="5" t="s">
        <v>557</v>
      </c>
      <c r="C22" s="5" t="s">
        <v>558</v>
      </c>
      <c r="D22" s="7" t="s">
        <v>559</v>
      </c>
      <c r="E22" s="5" t="s">
        <v>467</v>
      </c>
      <c r="F22" s="5" t="n">
        <v>4</v>
      </c>
      <c r="G22" s="26" t="n">
        <v>110</v>
      </c>
      <c r="H22" s="26" t="n">
        <v>280</v>
      </c>
      <c r="I22" s="26" t="n">
        <v>180</v>
      </c>
      <c r="J22" s="7" t="s">
        <v>560</v>
      </c>
      <c r="K22" s="7" t="s">
        <v>561</v>
      </c>
    </row>
    <row r="23" customFormat="false" ht="30" hidden="false" customHeight="true" outlineLevel="0" collapsed="false">
      <c r="A23" s="5" t="s">
        <v>562</v>
      </c>
      <c r="B23" s="5" t="s">
        <v>563</v>
      </c>
      <c r="C23" s="5" t="s">
        <v>564</v>
      </c>
      <c r="D23" s="7" t="s">
        <v>565</v>
      </c>
      <c r="E23" s="5" t="s">
        <v>461</v>
      </c>
      <c r="F23" s="5" t="n">
        <v>6</v>
      </c>
      <c r="G23" s="26" t="n">
        <v>130</v>
      </c>
      <c r="H23" s="26" t="n">
        <v>300</v>
      </c>
      <c r="I23" s="26" t="n">
        <v>185</v>
      </c>
      <c r="J23" s="7" t="s">
        <v>566</v>
      </c>
      <c r="K23" s="7" t="s">
        <v>567</v>
      </c>
    </row>
    <row r="24" customFormat="false" ht="15" hidden="false" customHeight="false" outlineLevel="0" collapsed="false">
      <c r="D24" s="18" t="s">
        <v>568</v>
      </c>
      <c r="E24" s="27" t="s">
        <v>569</v>
      </c>
      <c r="F24" s="27" t="n">
        <f aca="false">SUM(F5:F23)</f>
        <v>98</v>
      </c>
      <c r="I24" s="28" t="n">
        <f aca="false">AVERAGE(I5:I23)</f>
        <v>247.578947368421</v>
      </c>
    </row>
    <row r="27" customFormat="false" ht="15" hidden="false" customHeight="false" outlineLevel="0" collapsed="false">
      <c r="A27" s="29" t="s">
        <v>570</v>
      </c>
    </row>
    <row r="28" customFormat="false" ht="30" hidden="false" customHeight="true" outlineLevel="0" collapsed="false">
      <c r="A28" s="3" t="s">
        <v>571</v>
      </c>
      <c r="B28" s="3" t="s">
        <v>572</v>
      </c>
      <c r="C28" s="3"/>
      <c r="D28" s="3"/>
      <c r="E28" s="3"/>
      <c r="F28" s="3"/>
      <c r="G28" s="3"/>
      <c r="H28" s="3"/>
      <c r="I28" s="3"/>
      <c r="J28" s="3"/>
      <c r="K28" s="3"/>
    </row>
    <row r="29" customFormat="false" ht="27.75" hidden="false" customHeight="true" outlineLevel="0" collapsed="false">
      <c r="A29" s="27" t="s">
        <v>573</v>
      </c>
      <c r="B29" s="7" t="s">
        <v>574</v>
      </c>
      <c r="C29" s="7"/>
      <c r="D29" s="7"/>
      <c r="E29" s="7"/>
      <c r="F29" s="7"/>
      <c r="G29" s="7"/>
      <c r="H29" s="7"/>
      <c r="I29" s="7"/>
      <c r="J29" s="7"/>
      <c r="K29" s="7"/>
    </row>
    <row r="30" customFormat="false" ht="27.75" hidden="false" customHeight="true" outlineLevel="0" collapsed="false">
      <c r="A30" s="27" t="s">
        <v>575</v>
      </c>
      <c r="B30" s="7" t="s">
        <v>576</v>
      </c>
      <c r="C30" s="7"/>
      <c r="D30" s="7"/>
      <c r="E30" s="7"/>
      <c r="F30" s="7"/>
      <c r="G30" s="7"/>
      <c r="H30" s="7"/>
      <c r="I30" s="7"/>
      <c r="J30" s="7"/>
      <c r="K30" s="7"/>
    </row>
    <row r="31" customFormat="false" ht="27.75" hidden="false" customHeight="true" outlineLevel="0" collapsed="false">
      <c r="A31" s="27" t="s">
        <v>577</v>
      </c>
      <c r="B31" s="7" t="s">
        <v>578</v>
      </c>
      <c r="C31" s="7"/>
      <c r="D31" s="7"/>
      <c r="E31" s="7"/>
      <c r="F31" s="7"/>
      <c r="G31" s="7"/>
      <c r="H31" s="7"/>
      <c r="I31" s="7"/>
      <c r="J31" s="7"/>
      <c r="K31" s="7"/>
    </row>
    <row r="32" customFormat="false" ht="27.75" hidden="false" customHeight="true" outlineLevel="0" collapsed="false">
      <c r="A32" s="27" t="s">
        <v>579</v>
      </c>
      <c r="B32" s="7" t="s">
        <v>580</v>
      </c>
      <c r="C32" s="7"/>
      <c r="D32" s="7"/>
      <c r="E32" s="7"/>
      <c r="F32" s="7"/>
      <c r="G32" s="7"/>
      <c r="H32" s="7"/>
      <c r="I32" s="7"/>
      <c r="J32" s="7"/>
      <c r="K32" s="7"/>
    </row>
    <row r="33" customFormat="false" ht="27.75" hidden="false" customHeight="true" outlineLevel="0" collapsed="false">
      <c r="A33" s="27" t="s">
        <v>581</v>
      </c>
      <c r="B33" s="7" t="s">
        <v>582</v>
      </c>
      <c r="C33" s="7"/>
      <c r="D33" s="7"/>
      <c r="E33" s="7"/>
      <c r="F33" s="7"/>
      <c r="G33" s="7"/>
      <c r="H33" s="7"/>
      <c r="I33" s="7"/>
      <c r="J33" s="7"/>
      <c r="K33" s="7"/>
    </row>
    <row r="34" customFormat="false" ht="27.75" hidden="false" customHeight="true" outlineLevel="0" collapsed="false">
      <c r="A34" s="27" t="s">
        <v>583</v>
      </c>
      <c r="B34" s="7" t="s">
        <v>584</v>
      </c>
      <c r="C34" s="7"/>
      <c r="D34" s="7"/>
      <c r="E34" s="7"/>
      <c r="F34" s="7"/>
      <c r="G34" s="7"/>
      <c r="H34" s="7"/>
      <c r="I34" s="7"/>
      <c r="J34" s="7"/>
      <c r="K34" s="7"/>
    </row>
    <row r="35" customFormat="false" ht="27.75" hidden="false" customHeight="true" outlineLevel="0" collapsed="false">
      <c r="A35" s="27" t="s">
        <v>585</v>
      </c>
      <c r="B35" s="7" t="s">
        <v>586</v>
      </c>
      <c r="C35" s="7"/>
      <c r="D35" s="7"/>
      <c r="E35" s="7"/>
      <c r="F35" s="7"/>
      <c r="G35" s="7"/>
      <c r="H35" s="7"/>
      <c r="I35" s="7"/>
      <c r="J35" s="7"/>
      <c r="K35" s="7"/>
    </row>
    <row r="36" customFormat="false" ht="27.75" hidden="false" customHeight="true" outlineLevel="0" collapsed="false">
      <c r="A36" s="27" t="s">
        <v>587</v>
      </c>
      <c r="B36" s="7" t="s">
        <v>588</v>
      </c>
      <c r="C36" s="7"/>
      <c r="D36" s="7"/>
      <c r="E36" s="7"/>
      <c r="F36" s="7"/>
      <c r="G36" s="7"/>
      <c r="H36" s="7"/>
      <c r="I36" s="7"/>
      <c r="J36" s="7"/>
      <c r="K36" s="7"/>
    </row>
    <row r="37" customFormat="false" ht="27.75" hidden="false" customHeight="true" outlineLevel="0" collapsed="false">
      <c r="A37" s="27" t="s">
        <v>589</v>
      </c>
      <c r="B37" s="7" t="s">
        <v>590</v>
      </c>
      <c r="C37" s="7"/>
      <c r="D37" s="7"/>
      <c r="E37" s="7"/>
      <c r="F37" s="7"/>
      <c r="G37" s="7"/>
      <c r="H37" s="7"/>
      <c r="I37" s="7"/>
      <c r="J37" s="7"/>
      <c r="K37" s="7"/>
    </row>
    <row r="38" customFormat="false" ht="27.75" hidden="false" customHeight="true" outlineLevel="0" collapsed="false">
      <c r="A38" s="27" t="s">
        <v>591</v>
      </c>
      <c r="B38" s="7" t="s">
        <v>592</v>
      </c>
      <c r="C38" s="7"/>
      <c r="D38" s="7"/>
      <c r="E38" s="7"/>
      <c r="F38" s="7"/>
      <c r="G38" s="7"/>
      <c r="H38" s="7"/>
      <c r="I38" s="7"/>
      <c r="J38" s="7"/>
      <c r="K38" s="7"/>
    </row>
    <row r="39" customFormat="false" ht="27.75" hidden="false" customHeight="true" outlineLevel="0" collapsed="false">
      <c r="A39" s="27" t="s">
        <v>593</v>
      </c>
      <c r="B39" s="7" t="s">
        <v>594</v>
      </c>
      <c r="C39" s="7"/>
      <c r="D39" s="7"/>
      <c r="E39" s="7"/>
      <c r="F39" s="7"/>
      <c r="G39" s="7"/>
      <c r="H39" s="7"/>
      <c r="I39" s="7"/>
      <c r="J39" s="7"/>
      <c r="K39" s="7"/>
    </row>
    <row r="42" customFormat="false" ht="15" hidden="false" customHeight="false" outlineLevel="0" collapsed="false">
      <c r="A42" s="29" t="s">
        <v>595</v>
      </c>
    </row>
    <row r="43" customFormat="false" ht="15" hidden="false" customHeight="true" outlineLevel="0" collapsed="false">
      <c r="A43" s="27" t="s">
        <v>596</v>
      </c>
      <c r="B43" s="27"/>
      <c r="C43" s="27"/>
      <c r="D43" s="30" t="s">
        <v>597</v>
      </c>
      <c r="E43" s="30"/>
      <c r="F43" s="30"/>
      <c r="G43" s="30"/>
      <c r="H43" s="30"/>
      <c r="I43" s="30"/>
      <c r="J43" s="30"/>
      <c r="K43" s="30"/>
    </row>
    <row r="44" customFormat="false" ht="15" hidden="false" customHeight="true" outlineLevel="0" collapsed="false">
      <c r="A44" s="27" t="s">
        <v>598</v>
      </c>
      <c r="B44" s="27"/>
      <c r="C44" s="27"/>
      <c r="D44" s="30" t="s">
        <v>599</v>
      </c>
      <c r="E44" s="30"/>
      <c r="F44" s="30"/>
      <c r="G44" s="30"/>
      <c r="H44" s="30"/>
      <c r="I44" s="30"/>
      <c r="J44" s="30"/>
      <c r="K44" s="30"/>
    </row>
    <row r="45" customFormat="false" ht="15" hidden="false" customHeight="true" outlineLevel="0" collapsed="false">
      <c r="A45" s="27" t="s">
        <v>600</v>
      </c>
      <c r="B45" s="27"/>
      <c r="C45" s="27"/>
      <c r="D45" s="30" t="s">
        <v>601</v>
      </c>
      <c r="E45" s="30"/>
      <c r="F45" s="30"/>
      <c r="G45" s="30"/>
      <c r="H45" s="30"/>
      <c r="I45" s="30"/>
      <c r="J45" s="30"/>
      <c r="K45" s="30"/>
    </row>
    <row r="46" customFormat="false" ht="15" hidden="false" customHeight="true" outlineLevel="0" collapsed="false">
      <c r="A46" s="27" t="s">
        <v>602</v>
      </c>
      <c r="B46" s="27"/>
      <c r="C46" s="27"/>
      <c r="D46" s="30" t="s">
        <v>603</v>
      </c>
      <c r="E46" s="30"/>
      <c r="F46" s="30"/>
      <c r="G46" s="30"/>
      <c r="H46" s="30"/>
      <c r="I46" s="30"/>
      <c r="J46" s="30"/>
      <c r="K46" s="30"/>
    </row>
    <row r="47" customFormat="false" ht="15" hidden="false" customHeight="true" outlineLevel="0" collapsed="false">
      <c r="A47" s="27" t="s">
        <v>604</v>
      </c>
      <c r="B47" s="27"/>
      <c r="C47" s="27"/>
      <c r="D47" s="30" t="s">
        <v>605</v>
      </c>
      <c r="E47" s="30"/>
      <c r="F47" s="30"/>
      <c r="G47" s="30"/>
      <c r="H47" s="30"/>
      <c r="I47" s="30"/>
      <c r="J47" s="30"/>
      <c r="K47" s="30"/>
    </row>
    <row r="48" customFormat="false" ht="15" hidden="false" customHeight="true" outlineLevel="0" collapsed="false">
      <c r="A48" s="27" t="s">
        <v>606</v>
      </c>
      <c r="B48" s="27"/>
      <c r="C48" s="27"/>
      <c r="D48" s="30" t="s">
        <v>607</v>
      </c>
      <c r="E48" s="30"/>
      <c r="F48" s="30"/>
      <c r="G48" s="30"/>
      <c r="H48" s="30"/>
      <c r="I48" s="30"/>
      <c r="J48" s="30"/>
      <c r="K48" s="30"/>
    </row>
    <row r="49" customFormat="false" ht="15" hidden="false" customHeight="true" outlineLevel="0" collapsed="false">
      <c r="A49" s="27" t="s">
        <v>608</v>
      </c>
      <c r="B49" s="27"/>
      <c r="C49" s="27"/>
      <c r="D49" s="30" t="s">
        <v>609</v>
      </c>
      <c r="E49" s="30"/>
      <c r="F49" s="30"/>
      <c r="G49" s="30"/>
      <c r="H49" s="30"/>
      <c r="I49" s="30"/>
      <c r="J49" s="30"/>
      <c r="K49" s="30"/>
    </row>
    <row r="50" customFormat="false" ht="15" hidden="false" customHeight="true" outlineLevel="0" collapsed="false">
      <c r="A50" s="27" t="s">
        <v>610</v>
      </c>
      <c r="B50" s="27"/>
      <c r="C50" s="27"/>
      <c r="D50" s="30" t="s">
        <v>611</v>
      </c>
      <c r="E50" s="30"/>
      <c r="F50" s="30"/>
      <c r="G50" s="30"/>
      <c r="H50" s="30"/>
      <c r="I50" s="30"/>
      <c r="J50" s="30"/>
      <c r="K50" s="30"/>
    </row>
    <row r="51" customFormat="false" ht="15" hidden="false" customHeight="true" outlineLevel="0" collapsed="false">
      <c r="A51" s="27" t="s">
        <v>612</v>
      </c>
      <c r="B51" s="27"/>
      <c r="C51" s="27"/>
      <c r="D51" s="30" t="s">
        <v>613</v>
      </c>
      <c r="E51" s="30"/>
      <c r="F51" s="30"/>
      <c r="G51" s="30"/>
      <c r="H51" s="30"/>
      <c r="I51" s="30"/>
      <c r="J51" s="30"/>
      <c r="K51" s="30"/>
    </row>
    <row r="52" customFormat="false" ht="15" hidden="false" customHeight="true" outlineLevel="0" collapsed="false">
      <c r="A52" s="27" t="s">
        <v>614</v>
      </c>
      <c r="B52" s="27"/>
      <c r="C52" s="27"/>
      <c r="D52" s="30" t="s">
        <v>615</v>
      </c>
      <c r="E52" s="30"/>
      <c r="F52" s="30"/>
      <c r="G52" s="30"/>
      <c r="H52" s="30"/>
      <c r="I52" s="30"/>
      <c r="J52" s="30"/>
      <c r="K52" s="30"/>
    </row>
    <row r="53" customFormat="false" ht="15" hidden="false" customHeight="true" outlineLevel="0" collapsed="false">
      <c r="A53" s="27" t="s">
        <v>616</v>
      </c>
      <c r="B53" s="27"/>
      <c r="C53" s="27"/>
      <c r="D53" s="30" t="s">
        <v>617</v>
      </c>
      <c r="E53" s="30"/>
      <c r="F53" s="30"/>
      <c r="G53" s="30"/>
      <c r="H53" s="30"/>
      <c r="I53" s="30"/>
      <c r="J53" s="30"/>
      <c r="K53" s="30"/>
    </row>
    <row r="54" customFormat="false" ht="15" hidden="false" customHeight="true" outlineLevel="0" collapsed="false">
      <c r="A54" s="27" t="s">
        <v>618</v>
      </c>
      <c r="B54" s="27"/>
      <c r="C54" s="27"/>
      <c r="D54" s="30" t="s">
        <v>619</v>
      </c>
      <c r="E54" s="30"/>
      <c r="F54" s="30"/>
      <c r="G54" s="30"/>
      <c r="H54" s="30"/>
      <c r="I54" s="30"/>
      <c r="J54" s="30"/>
      <c r="K54" s="30"/>
    </row>
    <row r="55" customFormat="false" ht="15" hidden="false" customHeight="true" outlineLevel="0" collapsed="false">
      <c r="A55" s="27" t="s">
        <v>620</v>
      </c>
      <c r="B55" s="27"/>
      <c r="C55" s="27"/>
      <c r="D55" s="30" t="s">
        <v>621</v>
      </c>
      <c r="E55" s="30"/>
      <c r="F55" s="30"/>
      <c r="G55" s="30"/>
      <c r="H55" s="30"/>
      <c r="I55" s="30"/>
      <c r="J55" s="30"/>
      <c r="K55" s="30"/>
    </row>
  </sheetData>
  <mergeCells count="40">
    <mergeCell ref="A1:K1"/>
    <mergeCell ref="A2:K2"/>
    <mergeCell ref="B28:K28"/>
    <mergeCell ref="B29:K29"/>
    <mergeCell ref="B30:K30"/>
    <mergeCell ref="B31:K31"/>
    <mergeCell ref="B32:K32"/>
    <mergeCell ref="B33:K33"/>
    <mergeCell ref="B34:K34"/>
    <mergeCell ref="B35:K35"/>
    <mergeCell ref="B36:K36"/>
    <mergeCell ref="B37:K37"/>
    <mergeCell ref="B38:K38"/>
    <mergeCell ref="B39:K39"/>
    <mergeCell ref="A43:C43"/>
    <mergeCell ref="D43:K43"/>
    <mergeCell ref="A44:C44"/>
    <mergeCell ref="D44:K44"/>
    <mergeCell ref="A45:C45"/>
    <mergeCell ref="D45:K45"/>
    <mergeCell ref="A46:C46"/>
    <mergeCell ref="D46:K46"/>
    <mergeCell ref="A47:C47"/>
    <mergeCell ref="D47:K47"/>
    <mergeCell ref="A48:C48"/>
    <mergeCell ref="D48:K48"/>
    <mergeCell ref="A49:C49"/>
    <mergeCell ref="D49:K49"/>
    <mergeCell ref="A50:C50"/>
    <mergeCell ref="D50:K50"/>
    <mergeCell ref="A51:C51"/>
    <mergeCell ref="D51:K51"/>
    <mergeCell ref="A52:C52"/>
    <mergeCell ref="D52:K52"/>
    <mergeCell ref="A53:C53"/>
    <mergeCell ref="D53:K53"/>
    <mergeCell ref="A54:C54"/>
    <mergeCell ref="D54:K54"/>
    <mergeCell ref="A55:C55"/>
    <mergeCell ref="D55:K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22"/>
    <col collapsed="false" customWidth="true" hidden="false" outlineLevel="0" max="4" min="4" style="0" width="46"/>
    <col collapsed="false" customWidth="true" hidden="false" outlineLevel="0" max="5" min="5" style="0" width="50"/>
    <col collapsed="false" customWidth="true" hidden="false" outlineLevel="0" max="6" min="6" style="0" width="20"/>
    <col collapsed="false" customWidth="true" hidden="false" outlineLevel="0" max="7" min="7" style="0" width="11"/>
    <col collapsed="false" customWidth="true" hidden="false" outlineLevel="0" max="8" min="8" style="0" width="30"/>
    <col collapsed="false" customWidth="true" hidden="false" outlineLevel="0" max="9" min="9" style="0" width="12"/>
    <col collapsed="false" customWidth="true" hidden="false" outlineLevel="0" max="10" min="10" style="0" width="11"/>
    <col collapsed="false" customWidth="true" hidden="false" outlineLevel="0" max="11" min="11" style="0" width="9"/>
  </cols>
  <sheetData>
    <row r="1" customFormat="false" ht="25.5" hidden="false" customHeight="true" outlineLevel="0" collapsed="false">
      <c r="A1" s="25" t="s">
        <v>622</v>
      </c>
      <c r="B1" s="25"/>
      <c r="C1" s="25"/>
      <c r="D1" s="25"/>
      <c r="E1" s="25"/>
      <c r="F1" s="25"/>
      <c r="G1" s="25"/>
      <c r="H1" s="25"/>
      <c r="I1" s="25"/>
      <c r="J1" s="25"/>
      <c r="K1" s="25"/>
    </row>
    <row r="2" customFormat="false" ht="15.75" hidden="false" customHeight="true" outlineLevel="0" collapsed="false">
      <c r="A2" s="2" t="s">
        <v>623</v>
      </c>
      <c r="B2" s="2"/>
      <c r="C2" s="2"/>
      <c r="D2" s="2"/>
      <c r="E2" s="2"/>
      <c r="F2" s="2"/>
      <c r="G2" s="2"/>
      <c r="H2" s="2"/>
      <c r="I2" s="2"/>
      <c r="J2" s="2"/>
      <c r="K2" s="2"/>
    </row>
    <row r="4" customFormat="false" ht="31.5" hidden="false" customHeight="true" outlineLevel="0" collapsed="false">
      <c r="A4" s="3" t="s">
        <v>446</v>
      </c>
      <c r="B4" s="3" t="s">
        <v>624</v>
      </c>
      <c r="C4" s="3" t="s">
        <v>625</v>
      </c>
      <c r="D4" s="3" t="s">
        <v>626</v>
      </c>
      <c r="E4" s="3" t="s">
        <v>627</v>
      </c>
      <c r="F4" s="3" t="s">
        <v>628</v>
      </c>
      <c r="G4" s="3" t="s">
        <v>629</v>
      </c>
      <c r="H4" s="3" t="s">
        <v>630</v>
      </c>
      <c r="I4" s="3" t="s">
        <v>631</v>
      </c>
      <c r="J4" s="3" t="s">
        <v>632</v>
      </c>
      <c r="K4" s="3" t="s">
        <v>633</v>
      </c>
    </row>
    <row r="5" customFormat="false" ht="45.75" hidden="false" customHeight="true" outlineLevel="0" collapsed="false">
      <c r="A5" s="5" t="s">
        <v>634</v>
      </c>
      <c r="B5" s="31" t="s">
        <v>635</v>
      </c>
      <c r="C5" s="5" t="s">
        <v>636</v>
      </c>
      <c r="D5" s="7" t="s">
        <v>637</v>
      </c>
      <c r="E5" s="7" t="s">
        <v>638</v>
      </c>
      <c r="F5" s="5" t="s">
        <v>639</v>
      </c>
      <c r="G5" s="5" t="s">
        <v>640</v>
      </c>
      <c r="H5" s="7" t="s">
        <v>641</v>
      </c>
      <c r="I5" s="5" t="s">
        <v>642</v>
      </c>
      <c r="J5" s="4" t="s">
        <v>643</v>
      </c>
      <c r="K5" s="8"/>
    </row>
    <row r="6" customFormat="false" ht="45.75" hidden="false" customHeight="true" outlineLevel="0" collapsed="false">
      <c r="A6" s="5" t="s">
        <v>644</v>
      </c>
      <c r="B6" s="32" t="s">
        <v>645</v>
      </c>
      <c r="C6" s="5" t="s">
        <v>636</v>
      </c>
      <c r="D6" s="7" t="s">
        <v>646</v>
      </c>
      <c r="E6" s="7" t="s">
        <v>647</v>
      </c>
      <c r="F6" s="5" t="s">
        <v>648</v>
      </c>
      <c r="G6" s="5" t="s">
        <v>649</v>
      </c>
      <c r="H6" s="7" t="s">
        <v>650</v>
      </c>
      <c r="I6" s="5" t="s">
        <v>651</v>
      </c>
      <c r="J6" s="4" t="s">
        <v>643</v>
      </c>
      <c r="K6" s="8"/>
    </row>
    <row r="7" customFormat="false" ht="45.75" hidden="false" customHeight="true" outlineLevel="0" collapsed="false">
      <c r="A7" s="5" t="s">
        <v>652</v>
      </c>
      <c r="B7" s="31" t="s">
        <v>635</v>
      </c>
      <c r="C7" s="5" t="s">
        <v>636</v>
      </c>
      <c r="D7" s="7" t="s">
        <v>653</v>
      </c>
      <c r="E7" s="7" t="s">
        <v>654</v>
      </c>
      <c r="F7" s="5" t="s">
        <v>655</v>
      </c>
      <c r="G7" s="5" t="s">
        <v>656</v>
      </c>
      <c r="H7" s="7" t="s">
        <v>657</v>
      </c>
      <c r="I7" s="5" t="s">
        <v>658</v>
      </c>
      <c r="J7" s="4" t="s">
        <v>659</v>
      </c>
      <c r="K7" s="8"/>
    </row>
    <row r="8" customFormat="false" ht="45.75" hidden="false" customHeight="true" outlineLevel="0" collapsed="false">
      <c r="A8" s="5" t="s">
        <v>660</v>
      </c>
      <c r="B8" s="32" t="s">
        <v>645</v>
      </c>
      <c r="C8" s="5" t="s">
        <v>636</v>
      </c>
      <c r="D8" s="7" t="s">
        <v>661</v>
      </c>
      <c r="E8" s="7" t="s">
        <v>662</v>
      </c>
      <c r="F8" s="5" t="s">
        <v>663</v>
      </c>
      <c r="G8" s="5" t="s">
        <v>664</v>
      </c>
      <c r="H8" s="7" t="s">
        <v>665</v>
      </c>
      <c r="I8" s="5" t="s">
        <v>666</v>
      </c>
      <c r="J8" s="4" t="s">
        <v>667</v>
      </c>
      <c r="K8" s="8"/>
    </row>
    <row r="9" customFormat="false" ht="45.75" hidden="false" customHeight="true" outlineLevel="0" collapsed="false">
      <c r="A9" s="5" t="s">
        <v>668</v>
      </c>
      <c r="B9" s="32" t="s">
        <v>645</v>
      </c>
      <c r="C9" s="5" t="s">
        <v>636</v>
      </c>
      <c r="D9" s="7" t="s">
        <v>669</v>
      </c>
      <c r="E9" s="7" t="s">
        <v>670</v>
      </c>
      <c r="F9" s="5" t="s">
        <v>671</v>
      </c>
      <c r="G9" s="5" t="s">
        <v>672</v>
      </c>
      <c r="H9" s="7" t="s">
        <v>673</v>
      </c>
      <c r="I9" s="5" t="s">
        <v>674</v>
      </c>
      <c r="J9" s="4" t="s">
        <v>675</v>
      </c>
      <c r="K9" s="8"/>
    </row>
    <row r="10" customFormat="false" ht="45.75" hidden="false" customHeight="true" outlineLevel="0" collapsed="false">
      <c r="A10" s="5" t="s">
        <v>676</v>
      </c>
      <c r="B10" s="32" t="s">
        <v>645</v>
      </c>
      <c r="C10" s="5" t="s">
        <v>636</v>
      </c>
      <c r="D10" s="7" t="s">
        <v>677</v>
      </c>
      <c r="E10" s="7" t="s">
        <v>678</v>
      </c>
      <c r="F10" s="5" t="s">
        <v>655</v>
      </c>
      <c r="G10" s="5" t="s">
        <v>679</v>
      </c>
      <c r="H10" s="7" t="s">
        <v>680</v>
      </c>
      <c r="I10" s="5" t="s">
        <v>674</v>
      </c>
      <c r="J10" s="4" t="s">
        <v>681</v>
      </c>
      <c r="K10" s="8"/>
    </row>
    <row r="11" customFormat="false" ht="45.75" hidden="false" customHeight="true" outlineLevel="0" collapsed="false">
      <c r="A11" s="5" t="s">
        <v>682</v>
      </c>
      <c r="B11" s="33" t="s">
        <v>683</v>
      </c>
      <c r="C11" s="5" t="s">
        <v>636</v>
      </c>
      <c r="D11" s="7" t="s">
        <v>684</v>
      </c>
      <c r="E11" s="7" t="s">
        <v>685</v>
      </c>
      <c r="F11" s="5" t="s">
        <v>655</v>
      </c>
      <c r="G11" s="5" t="s">
        <v>686</v>
      </c>
      <c r="H11" s="7" t="s">
        <v>687</v>
      </c>
      <c r="I11" s="5" t="s">
        <v>674</v>
      </c>
      <c r="J11" s="4" t="s">
        <v>688</v>
      </c>
      <c r="K11" s="8"/>
    </row>
    <row r="12" customFormat="false" ht="45.75" hidden="false" customHeight="true" outlineLevel="0" collapsed="false">
      <c r="A12" s="5" t="s">
        <v>689</v>
      </c>
      <c r="B12" s="33" t="s">
        <v>683</v>
      </c>
      <c r="C12" s="5" t="s">
        <v>636</v>
      </c>
      <c r="D12" s="7" t="s">
        <v>690</v>
      </c>
      <c r="E12" s="7" t="s">
        <v>691</v>
      </c>
      <c r="F12" s="5" t="s">
        <v>692</v>
      </c>
      <c r="G12" s="5" t="s">
        <v>693</v>
      </c>
      <c r="H12" s="7" t="s">
        <v>694</v>
      </c>
      <c r="I12" s="5" t="s">
        <v>674</v>
      </c>
      <c r="J12" s="4" t="s">
        <v>695</v>
      </c>
      <c r="K12" s="8"/>
    </row>
    <row r="13" customFormat="false" ht="45.75" hidden="false" customHeight="true" outlineLevel="0" collapsed="false">
      <c r="A13" s="5" t="s">
        <v>696</v>
      </c>
      <c r="B13" s="33" t="s">
        <v>683</v>
      </c>
      <c r="C13" s="5" t="s">
        <v>697</v>
      </c>
      <c r="D13" s="7" t="s">
        <v>698</v>
      </c>
      <c r="E13" s="7" t="s">
        <v>699</v>
      </c>
      <c r="F13" s="5" t="s">
        <v>655</v>
      </c>
      <c r="G13" s="5" t="s">
        <v>656</v>
      </c>
      <c r="H13" s="7" t="s">
        <v>700</v>
      </c>
      <c r="I13" s="5" t="s">
        <v>701</v>
      </c>
      <c r="J13" s="4" t="s">
        <v>702</v>
      </c>
      <c r="K13" s="8"/>
    </row>
    <row r="14" customFormat="false" ht="45.75" hidden="false" customHeight="true" outlineLevel="0" collapsed="false">
      <c r="A14" s="5" t="s">
        <v>703</v>
      </c>
      <c r="B14" s="32" t="s">
        <v>645</v>
      </c>
      <c r="C14" s="5" t="s">
        <v>704</v>
      </c>
      <c r="D14" s="7" t="s">
        <v>705</v>
      </c>
      <c r="E14" s="7" t="s">
        <v>706</v>
      </c>
      <c r="F14" s="5" t="s">
        <v>655</v>
      </c>
      <c r="G14" s="5" t="s">
        <v>656</v>
      </c>
      <c r="H14" s="7" t="s">
        <v>707</v>
      </c>
      <c r="I14" s="5" t="s">
        <v>701</v>
      </c>
      <c r="J14" s="4" t="s">
        <v>708</v>
      </c>
      <c r="K14" s="8"/>
    </row>
    <row r="15" customFormat="false" ht="45.75" hidden="false" customHeight="true" outlineLevel="0" collapsed="false">
      <c r="A15" s="5" t="s">
        <v>709</v>
      </c>
      <c r="B15" s="32" t="s">
        <v>645</v>
      </c>
      <c r="C15" s="5" t="s">
        <v>710</v>
      </c>
      <c r="D15" s="7" t="s">
        <v>711</v>
      </c>
      <c r="E15" s="7" t="s">
        <v>712</v>
      </c>
      <c r="F15" s="5" t="s">
        <v>655</v>
      </c>
      <c r="G15" s="5" t="s">
        <v>640</v>
      </c>
      <c r="H15" s="7" t="s">
        <v>713</v>
      </c>
      <c r="I15" s="5" t="s">
        <v>701</v>
      </c>
      <c r="J15" s="4" t="s">
        <v>714</v>
      </c>
      <c r="K15" s="8"/>
    </row>
    <row r="16" customFormat="false" ht="45.75" hidden="false" customHeight="true" outlineLevel="0" collapsed="false">
      <c r="A16" s="5" t="s">
        <v>715</v>
      </c>
      <c r="B16" s="32" t="s">
        <v>645</v>
      </c>
      <c r="C16" s="5" t="s">
        <v>716</v>
      </c>
      <c r="D16" s="7" t="s">
        <v>717</v>
      </c>
      <c r="E16" s="7" t="s">
        <v>718</v>
      </c>
      <c r="F16" s="5" t="s">
        <v>655</v>
      </c>
      <c r="G16" s="5" t="s">
        <v>719</v>
      </c>
      <c r="H16" s="7" t="s">
        <v>720</v>
      </c>
      <c r="I16" s="5" t="s">
        <v>701</v>
      </c>
      <c r="J16" s="4" t="s">
        <v>721</v>
      </c>
      <c r="K16" s="8"/>
    </row>
    <row r="17" customFormat="false" ht="45.75" hidden="false" customHeight="true" outlineLevel="0" collapsed="false">
      <c r="A17" s="5" t="s">
        <v>722</v>
      </c>
      <c r="B17" s="33" t="s">
        <v>683</v>
      </c>
      <c r="C17" s="5" t="s">
        <v>723</v>
      </c>
      <c r="D17" s="7" t="s">
        <v>724</v>
      </c>
      <c r="E17" s="7" t="s">
        <v>725</v>
      </c>
      <c r="F17" s="5" t="s">
        <v>655</v>
      </c>
      <c r="G17" s="5" t="s">
        <v>640</v>
      </c>
      <c r="H17" s="7" t="s">
        <v>726</v>
      </c>
      <c r="I17" s="5" t="s">
        <v>701</v>
      </c>
      <c r="J17" s="4" t="s">
        <v>727</v>
      </c>
      <c r="K17" s="8"/>
    </row>
    <row r="18" customFormat="false" ht="45.75" hidden="false" customHeight="true" outlineLevel="0" collapsed="false">
      <c r="A18" s="5" t="s">
        <v>728</v>
      </c>
      <c r="B18" s="32" t="s">
        <v>645</v>
      </c>
      <c r="C18" s="5" t="s">
        <v>729</v>
      </c>
      <c r="D18" s="7" t="s">
        <v>730</v>
      </c>
      <c r="E18" s="7" t="s">
        <v>731</v>
      </c>
      <c r="F18" s="5" t="s">
        <v>655</v>
      </c>
      <c r="G18" s="5" t="s">
        <v>732</v>
      </c>
      <c r="H18" s="7" t="s">
        <v>733</v>
      </c>
      <c r="I18" s="5" t="s">
        <v>701</v>
      </c>
      <c r="J18" s="4" t="s">
        <v>734</v>
      </c>
      <c r="K18" s="8"/>
    </row>
    <row r="19" customFormat="false" ht="45.75" hidden="false" customHeight="true" outlineLevel="0" collapsed="false">
      <c r="A19" s="5" t="s">
        <v>735</v>
      </c>
      <c r="B19" s="33" t="s">
        <v>683</v>
      </c>
      <c r="C19" s="5" t="s">
        <v>736</v>
      </c>
      <c r="D19" s="7" t="s">
        <v>737</v>
      </c>
      <c r="E19" s="7" t="s">
        <v>738</v>
      </c>
      <c r="F19" s="5" t="s">
        <v>655</v>
      </c>
      <c r="G19" s="5" t="s">
        <v>739</v>
      </c>
      <c r="H19" s="7" t="s">
        <v>740</v>
      </c>
      <c r="I19" s="5" t="s">
        <v>701</v>
      </c>
      <c r="J19" s="4" t="s">
        <v>741</v>
      </c>
      <c r="K19" s="8"/>
    </row>
    <row r="20" customFormat="false" ht="45.75" hidden="false" customHeight="true" outlineLevel="0" collapsed="false">
      <c r="A20" s="5" t="s">
        <v>742</v>
      </c>
      <c r="B20" s="33" t="s">
        <v>683</v>
      </c>
      <c r="C20" s="5" t="s">
        <v>743</v>
      </c>
      <c r="D20" s="7" t="s">
        <v>744</v>
      </c>
      <c r="E20" s="7" t="s">
        <v>745</v>
      </c>
      <c r="F20" s="5" t="s">
        <v>655</v>
      </c>
      <c r="G20" s="5" t="s">
        <v>656</v>
      </c>
      <c r="H20" s="7" t="s">
        <v>746</v>
      </c>
      <c r="I20" s="5" t="s">
        <v>701</v>
      </c>
      <c r="J20" s="4" t="s">
        <v>747</v>
      </c>
      <c r="K20" s="8"/>
    </row>
    <row r="21" customFormat="false" ht="45.75" hidden="false" customHeight="true" outlineLevel="0" collapsed="false">
      <c r="A21" s="5" t="s">
        <v>748</v>
      </c>
      <c r="B21" s="33" t="s">
        <v>683</v>
      </c>
      <c r="C21" s="5" t="s">
        <v>749</v>
      </c>
      <c r="D21" s="7" t="s">
        <v>750</v>
      </c>
      <c r="E21" s="7" t="s">
        <v>751</v>
      </c>
      <c r="F21" s="5" t="s">
        <v>655</v>
      </c>
      <c r="G21" s="5" t="s">
        <v>640</v>
      </c>
      <c r="H21" s="7" t="s">
        <v>752</v>
      </c>
      <c r="I21" s="5" t="s">
        <v>701</v>
      </c>
      <c r="J21" s="4" t="s">
        <v>753</v>
      </c>
      <c r="K21" s="8"/>
    </row>
    <row r="22" customFormat="false" ht="45.75" hidden="false" customHeight="true" outlineLevel="0" collapsed="false">
      <c r="A22" s="5" t="s">
        <v>754</v>
      </c>
      <c r="B22" s="31" t="s">
        <v>635</v>
      </c>
      <c r="C22" s="5" t="s">
        <v>755</v>
      </c>
      <c r="D22" s="7" t="s">
        <v>756</v>
      </c>
      <c r="E22" s="7" t="s">
        <v>757</v>
      </c>
      <c r="F22" s="5" t="s">
        <v>655</v>
      </c>
      <c r="G22" s="5" t="s">
        <v>640</v>
      </c>
      <c r="H22" s="7" t="s">
        <v>758</v>
      </c>
      <c r="I22" s="5" t="s">
        <v>701</v>
      </c>
      <c r="J22" s="4" t="s">
        <v>759</v>
      </c>
      <c r="K22" s="8"/>
    </row>
    <row r="23" customFormat="false" ht="45.75" hidden="false" customHeight="true" outlineLevel="0" collapsed="false">
      <c r="A23" s="5" t="s">
        <v>760</v>
      </c>
      <c r="B23" s="31" t="s">
        <v>635</v>
      </c>
      <c r="C23" s="5" t="s">
        <v>761</v>
      </c>
      <c r="D23" s="7" t="s">
        <v>762</v>
      </c>
      <c r="E23" s="7" t="s">
        <v>763</v>
      </c>
      <c r="F23" s="5" t="s">
        <v>655</v>
      </c>
      <c r="G23" s="5" t="s">
        <v>640</v>
      </c>
      <c r="H23" s="7" t="s">
        <v>764</v>
      </c>
      <c r="I23" s="5" t="s">
        <v>701</v>
      </c>
      <c r="J23" s="4" t="s">
        <v>765</v>
      </c>
      <c r="K23" s="8"/>
    </row>
    <row r="24" customFormat="false" ht="45.75" hidden="false" customHeight="true" outlineLevel="0" collapsed="false">
      <c r="A24" s="5" t="s">
        <v>766</v>
      </c>
      <c r="B24" s="32" t="s">
        <v>645</v>
      </c>
      <c r="C24" s="5" t="s">
        <v>761</v>
      </c>
      <c r="D24" s="7" t="s">
        <v>767</v>
      </c>
      <c r="E24" s="7" t="s">
        <v>768</v>
      </c>
      <c r="F24" s="5" t="s">
        <v>655</v>
      </c>
      <c r="G24" s="5" t="s">
        <v>656</v>
      </c>
      <c r="H24" s="7" t="s">
        <v>769</v>
      </c>
      <c r="I24" s="5" t="s">
        <v>701</v>
      </c>
      <c r="J24" s="4" t="s">
        <v>734</v>
      </c>
      <c r="K24" s="8"/>
    </row>
    <row r="25" customFormat="false" ht="45.75" hidden="false" customHeight="true" outlineLevel="0" collapsed="false">
      <c r="A25" s="5" t="s">
        <v>770</v>
      </c>
      <c r="B25" s="32" t="s">
        <v>645</v>
      </c>
      <c r="C25" s="5" t="s">
        <v>771</v>
      </c>
      <c r="D25" s="7" t="s">
        <v>772</v>
      </c>
      <c r="E25" s="7" t="s">
        <v>773</v>
      </c>
      <c r="F25" s="5" t="s">
        <v>655</v>
      </c>
      <c r="G25" s="5" t="s">
        <v>774</v>
      </c>
      <c r="H25" s="7" t="s">
        <v>775</v>
      </c>
      <c r="I25" s="5" t="s">
        <v>701</v>
      </c>
      <c r="J25" s="4" t="s">
        <v>776</v>
      </c>
      <c r="K25" s="8"/>
    </row>
    <row r="26" customFormat="false" ht="45.75" hidden="false" customHeight="true" outlineLevel="0" collapsed="false">
      <c r="A26" s="5" t="s">
        <v>777</v>
      </c>
      <c r="B26" s="32" t="s">
        <v>645</v>
      </c>
      <c r="C26" s="5" t="s">
        <v>761</v>
      </c>
      <c r="D26" s="7" t="s">
        <v>778</v>
      </c>
      <c r="E26" s="7" t="s">
        <v>779</v>
      </c>
      <c r="F26" s="5" t="s">
        <v>655</v>
      </c>
      <c r="G26" s="5" t="s">
        <v>640</v>
      </c>
      <c r="H26" s="7" t="s">
        <v>780</v>
      </c>
      <c r="I26" s="5" t="s">
        <v>701</v>
      </c>
      <c r="J26" s="4" t="s">
        <v>781</v>
      </c>
      <c r="K26" s="8"/>
    </row>
    <row r="27" customFormat="false" ht="45.75" hidden="false" customHeight="true" outlineLevel="0" collapsed="false">
      <c r="A27" s="5" t="s">
        <v>782</v>
      </c>
      <c r="B27" s="31" t="s">
        <v>635</v>
      </c>
      <c r="C27" s="5" t="s">
        <v>783</v>
      </c>
      <c r="D27" s="7" t="s">
        <v>784</v>
      </c>
      <c r="E27" s="7" t="s">
        <v>785</v>
      </c>
      <c r="F27" s="5" t="s">
        <v>786</v>
      </c>
      <c r="G27" s="5" t="s">
        <v>664</v>
      </c>
      <c r="H27" s="7" t="s">
        <v>787</v>
      </c>
      <c r="I27" s="5" t="s">
        <v>651</v>
      </c>
      <c r="J27" s="4" t="s">
        <v>675</v>
      </c>
      <c r="K27" s="8"/>
    </row>
    <row r="28" customFormat="false" ht="45.75" hidden="false" customHeight="true" outlineLevel="0" collapsed="false">
      <c r="A28" s="5" t="s">
        <v>788</v>
      </c>
      <c r="B28" s="31" t="s">
        <v>635</v>
      </c>
      <c r="C28" s="5" t="s">
        <v>783</v>
      </c>
      <c r="D28" s="7" t="s">
        <v>789</v>
      </c>
      <c r="E28" s="7" t="s">
        <v>790</v>
      </c>
      <c r="F28" s="5" t="s">
        <v>786</v>
      </c>
      <c r="G28" s="5" t="s">
        <v>664</v>
      </c>
      <c r="H28" s="7" t="s">
        <v>791</v>
      </c>
      <c r="I28" s="5" t="s">
        <v>651</v>
      </c>
      <c r="J28" s="4" t="s">
        <v>659</v>
      </c>
      <c r="K28" s="8"/>
    </row>
    <row r="29" customFormat="false" ht="45.75" hidden="false" customHeight="true" outlineLevel="0" collapsed="false">
      <c r="A29" s="5" t="s">
        <v>792</v>
      </c>
      <c r="B29" s="32" t="s">
        <v>645</v>
      </c>
      <c r="C29" s="5" t="s">
        <v>783</v>
      </c>
      <c r="D29" s="7" t="s">
        <v>793</v>
      </c>
      <c r="E29" s="7" t="s">
        <v>794</v>
      </c>
      <c r="F29" s="5" t="s">
        <v>786</v>
      </c>
      <c r="G29" s="5" t="s">
        <v>679</v>
      </c>
      <c r="H29" s="7" t="s">
        <v>795</v>
      </c>
      <c r="I29" s="5" t="s">
        <v>651</v>
      </c>
      <c r="J29" s="4" t="s">
        <v>796</v>
      </c>
      <c r="K29" s="8"/>
    </row>
    <row r="30" customFormat="false" ht="45.75" hidden="false" customHeight="true" outlineLevel="0" collapsed="false">
      <c r="A30" s="5" t="s">
        <v>797</v>
      </c>
      <c r="B30" s="32" t="s">
        <v>645</v>
      </c>
      <c r="C30" s="5" t="s">
        <v>783</v>
      </c>
      <c r="D30" s="7" t="s">
        <v>798</v>
      </c>
      <c r="E30" s="7" t="s">
        <v>799</v>
      </c>
      <c r="F30" s="5" t="s">
        <v>786</v>
      </c>
      <c r="G30" s="5" t="s">
        <v>649</v>
      </c>
      <c r="H30" s="7" t="s">
        <v>800</v>
      </c>
      <c r="I30" s="5" t="s">
        <v>651</v>
      </c>
      <c r="J30" s="4" t="s">
        <v>667</v>
      </c>
      <c r="K30" s="8"/>
    </row>
    <row r="31" customFormat="false" ht="45.75" hidden="false" customHeight="true" outlineLevel="0" collapsed="false">
      <c r="A31" s="5" t="s">
        <v>801</v>
      </c>
      <c r="B31" s="32" t="s">
        <v>645</v>
      </c>
      <c r="C31" s="5" t="s">
        <v>783</v>
      </c>
      <c r="D31" s="7" t="s">
        <v>802</v>
      </c>
      <c r="E31" s="7" t="s">
        <v>803</v>
      </c>
      <c r="F31" s="5" t="s">
        <v>786</v>
      </c>
      <c r="G31" s="5" t="s">
        <v>786</v>
      </c>
      <c r="H31" s="7" t="s">
        <v>804</v>
      </c>
      <c r="I31" s="5" t="s">
        <v>651</v>
      </c>
      <c r="J31" s="4" t="s">
        <v>805</v>
      </c>
      <c r="K31" s="8"/>
    </row>
    <row r="32" customFormat="false" ht="45.75" hidden="false" customHeight="true" outlineLevel="0" collapsed="false">
      <c r="A32" s="5" t="s">
        <v>806</v>
      </c>
      <c r="B32" s="33" t="s">
        <v>683</v>
      </c>
      <c r="C32" s="5" t="s">
        <v>783</v>
      </c>
      <c r="D32" s="7" t="s">
        <v>807</v>
      </c>
      <c r="E32" s="7" t="s">
        <v>808</v>
      </c>
      <c r="F32" s="5" t="s">
        <v>786</v>
      </c>
      <c r="G32" s="5" t="s">
        <v>809</v>
      </c>
      <c r="H32" s="7" t="s">
        <v>810</v>
      </c>
      <c r="I32" s="5" t="s">
        <v>651</v>
      </c>
      <c r="J32" s="4" t="s">
        <v>811</v>
      </c>
      <c r="K32" s="8"/>
    </row>
    <row r="33" customFormat="false" ht="45.75" hidden="false" customHeight="true" outlineLevel="0" collapsed="false">
      <c r="A33" s="5" t="s">
        <v>812</v>
      </c>
      <c r="B33" s="33" t="s">
        <v>683</v>
      </c>
      <c r="C33" s="5" t="s">
        <v>813</v>
      </c>
      <c r="D33" s="7" t="s">
        <v>814</v>
      </c>
      <c r="E33" s="7" t="s">
        <v>815</v>
      </c>
      <c r="F33" s="5" t="s">
        <v>786</v>
      </c>
      <c r="G33" s="5" t="s">
        <v>786</v>
      </c>
      <c r="H33" s="7" t="s">
        <v>816</v>
      </c>
      <c r="I33" s="5" t="s">
        <v>651</v>
      </c>
      <c r="J33" s="4" t="s">
        <v>817</v>
      </c>
      <c r="K33" s="8"/>
    </row>
    <row r="34" customFormat="false" ht="45.75" hidden="false" customHeight="true" outlineLevel="0" collapsed="false">
      <c r="A34" s="5" t="s">
        <v>818</v>
      </c>
      <c r="B34" s="31" t="s">
        <v>635</v>
      </c>
      <c r="C34" s="5" t="s">
        <v>819</v>
      </c>
      <c r="D34" s="7" t="s">
        <v>820</v>
      </c>
      <c r="E34" s="7" t="s">
        <v>821</v>
      </c>
      <c r="F34" s="5" t="s">
        <v>786</v>
      </c>
      <c r="G34" s="5" t="s">
        <v>649</v>
      </c>
      <c r="H34" s="7" t="s">
        <v>822</v>
      </c>
      <c r="I34" s="5" t="s">
        <v>651</v>
      </c>
      <c r="J34" s="4" t="s">
        <v>805</v>
      </c>
      <c r="K34" s="8"/>
    </row>
    <row r="35" customFormat="false" ht="45.75" hidden="false" customHeight="true" outlineLevel="0" collapsed="false">
      <c r="A35" s="5" t="s">
        <v>823</v>
      </c>
      <c r="B35" s="31" t="s">
        <v>635</v>
      </c>
      <c r="C35" s="5" t="s">
        <v>783</v>
      </c>
      <c r="D35" s="7" t="s">
        <v>824</v>
      </c>
      <c r="E35" s="7" t="s">
        <v>825</v>
      </c>
      <c r="F35" s="5" t="s">
        <v>786</v>
      </c>
      <c r="G35" s="5" t="s">
        <v>826</v>
      </c>
      <c r="H35" s="7" t="s">
        <v>827</v>
      </c>
      <c r="I35" s="5" t="s">
        <v>651</v>
      </c>
      <c r="J35" s="4" t="s">
        <v>805</v>
      </c>
      <c r="K35" s="8"/>
    </row>
    <row r="36" customFormat="false" ht="45.75" hidden="false" customHeight="true" outlineLevel="0" collapsed="false">
      <c r="A36" s="5" t="s">
        <v>828</v>
      </c>
      <c r="B36" s="31" t="s">
        <v>635</v>
      </c>
      <c r="C36" s="5" t="s">
        <v>829</v>
      </c>
      <c r="D36" s="7" t="s">
        <v>830</v>
      </c>
      <c r="E36" s="7" t="s">
        <v>831</v>
      </c>
      <c r="F36" s="5" t="s">
        <v>786</v>
      </c>
      <c r="G36" s="5" t="s">
        <v>809</v>
      </c>
      <c r="H36" s="7" t="s">
        <v>832</v>
      </c>
      <c r="I36" s="5" t="s">
        <v>651</v>
      </c>
      <c r="J36" s="4" t="s">
        <v>659</v>
      </c>
      <c r="K36" s="8"/>
    </row>
    <row r="37" customFormat="false" ht="45.75" hidden="false" customHeight="true" outlineLevel="0" collapsed="false">
      <c r="A37" s="5" t="s">
        <v>833</v>
      </c>
      <c r="B37" s="32" t="s">
        <v>645</v>
      </c>
      <c r="C37" s="5" t="s">
        <v>834</v>
      </c>
      <c r="D37" s="7" t="s">
        <v>835</v>
      </c>
      <c r="E37" s="7" t="s">
        <v>836</v>
      </c>
      <c r="F37" s="5" t="s">
        <v>786</v>
      </c>
      <c r="G37" s="5" t="s">
        <v>786</v>
      </c>
      <c r="H37" s="7" t="s">
        <v>837</v>
      </c>
      <c r="I37" s="5" t="s">
        <v>651</v>
      </c>
      <c r="J37" s="4" t="s">
        <v>805</v>
      </c>
      <c r="K37" s="8"/>
    </row>
    <row r="39" customFormat="false" ht="15" hidden="false" customHeight="false" outlineLevel="0" collapsed="false">
      <c r="A39" s="34" t="s">
        <v>838</v>
      </c>
      <c r="D39" s="34" t="n">
        <f aca="false">COUNTIFS(B5:B37,"CRITICAL",K5:K37,"&lt;&gt;Yes")</f>
        <v>9</v>
      </c>
    </row>
    <row r="40" customFormat="false" ht="15" hidden="false" customHeight="false" outlineLevel="0" collapsed="false">
      <c r="A40" s="34" t="s">
        <v>839</v>
      </c>
      <c r="D40" s="35" t="s">
        <v>840</v>
      </c>
    </row>
  </sheetData>
  <autoFilter ref="A4:K37"/>
  <mergeCells count="2">
    <mergeCell ref="A1:K1"/>
    <mergeCell ref="A2:K2"/>
  </mergeCells>
  <dataValidations count="1">
    <dataValidation allowBlank="true" errorStyle="stop" operator="between" showDropDown="false" showErrorMessage="false" showInputMessage="false" sqref="K5:K37" type="list">
      <formula1>"Yes,In progress,No"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70"/>
    <col collapsed="false" customWidth="true" hidden="false" outlineLevel="0" max="4" min="4" style="0" width="14"/>
    <col collapsed="false" customWidth="true" hidden="false" outlineLevel="0" max="5" min="5" style="0" width="50"/>
    <col collapsed="false" customWidth="true" hidden="false" outlineLevel="0" max="6" min="6" style="0" width="14"/>
    <col collapsed="false" customWidth="true" hidden="false" outlineLevel="0" max="7" min="7" style="0" width="44"/>
  </cols>
  <sheetData>
    <row r="1" customFormat="false" ht="25.5" hidden="false" customHeight="true" outlineLevel="0" collapsed="false">
      <c r="A1" s="25" t="s">
        <v>841</v>
      </c>
      <c r="B1" s="25"/>
      <c r="C1" s="25"/>
      <c r="D1" s="25"/>
      <c r="E1" s="25"/>
      <c r="F1" s="25"/>
      <c r="G1" s="25"/>
    </row>
    <row r="2" customFormat="false" ht="15.75" hidden="false" customHeight="true" outlineLevel="0" collapsed="false">
      <c r="A2" s="2" t="s">
        <v>842</v>
      </c>
      <c r="B2" s="2"/>
      <c r="C2" s="2"/>
      <c r="D2" s="2"/>
      <c r="E2" s="2"/>
      <c r="F2" s="2"/>
      <c r="G2" s="2"/>
    </row>
    <row r="4" customFormat="false" ht="31.5" hidden="false" customHeight="true" outlineLevel="0" collapsed="false">
      <c r="A4" s="3" t="s">
        <v>3</v>
      </c>
      <c r="B4" s="3" t="s">
        <v>843</v>
      </c>
      <c r="C4" s="3" t="s">
        <v>5</v>
      </c>
      <c r="D4" s="3" t="s">
        <v>844</v>
      </c>
      <c r="E4" s="3" t="s">
        <v>845</v>
      </c>
      <c r="F4" s="3" t="s">
        <v>6</v>
      </c>
      <c r="G4" s="3" t="s">
        <v>846</v>
      </c>
    </row>
    <row r="5" customFormat="false" ht="75.75" hidden="false" customHeight="true" outlineLevel="0" collapsed="false">
      <c r="A5" s="5" t="s">
        <v>847</v>
      </c>
      <c r="B5" s="5" t="s">
        <v>848</v>
      </c>
      <c r="C5" s="5" t="s">
        <v>31</v>
      </c>
      <c r="D5" s="7" t="s">
        <v>849</v>
      </c>
      <c r="E5" s="7" t="s">
        <v>850</v>
      </c>
      <c r="F5" s="5" t="s">
        <v>851</v>
      </c>
      <c r="G5" s="7" t="s">
        <v>852</v>
      </c>
    </row>
    <row r="6" customFormat="false" ht="75.75" hidden="false" customHeight="true" outlineLevel="0" collapsed="false">
      <c r="A6" s="5" t="s">
        <v>853</v>
      </c>
      <c r="B6" s="5" t="s">
        <v>854</v>
      </c>
      <c r="C6" s="5" t="s">
        <v>855</v>
      </c>
      <c r="D6" s="7" t="s">
        <v>856</v>
      </c>
      <c r="E6" s="7" t="s">
        <v>857</v>
      </c>
      <c r="F6" s="5" t="s">
        <v>851</v>
      </c>
      <c r="G6" s="7" t="s">
        <v>858</v>
      </c>
    </row>
    <row r="7" customFormat="false" ht="75.75" hidden="false" customHeight="true" outlineLevel="0" collapsed="false">
      <c r="A7" s="5" t="s">
        <v>859</v>
      </c>
      <c r="B7" s="5" t="s">
        <v>860</v>
      </c>
      <c r="C7" s="5" t="s">
        <v>67</v>
      </c>
      <c r="D7" s="7" t="s">
        <v>861</v>
      </c>
      <c r="E7" s="7" t="s">
        <v>862</v>
      </c>
      <c r="F7" s="5" t="s">
        <v>863</v>
      </c>
      <c r="G7" s="7" t="s">
        <v>864</v>
      </c>
    </row>
    <row r="8" customFormat="false" ht="75.75" hidden="false" customHeight="true" outlineLevel="0" collapsed="false">
      <c r="A8" s="5" t="s">
        <v>865</v>
      </c>
      <c r="B8" s="5" t="s">
        <v>75</v>
      </c>
      <c r="C8" s="5" t="s">
        <v>75</v>
      </c>
      <c r="D8" s="7" t="s">
        <v>866</v>
      </c>
      <c r="E8" s="7" t="s">
        <v>867</v>
      </c>
      <c r="F8" s="5" t="s">
        <v>851</v>
      </c>
      <c r="G8" s="7" t="s">
        <v>868</v>
      </c>
    </row>
    <row r="9" customFormat="false" ht="75.75" hidden="false" customHeight="true" outlineLevel="0" collapsed="false">
      <c r="A9" s="5" t="s">
        <v>869</v>
      </c>
      <c r="B9" s="5" t="s">
        <v>870</v>
      </c>
      <c r="C9" s="5" t="s">
        <v>31</v>
      </c>
      <c r="D9" s="7" t="s">
        <v>871</v>
      </c>
      <c r="E9" s="7" t="s">
        <v>872</v>
      </c>
      <c r="F9" s="5" t="s">
        <v>873</v>
      </c>
      <c r="G9" s="7" t="s">
        <v>874</v>
      </c>
    </row>
    <row r="10" customFormat="false" ht="75.75" hidden="false" customHeight="true" outlineLevel="0" collapsed="false">
      <c r="A10" s="5" t="s">
        <v>875</v>
      </c>
      <c r="B10" s="5" t="s">
        <v>876</v>
      </c>
      <c r="C10" s="5" t="s">
        <v>786</v>
      </c>
      <c r="D10" s="7" t="s">
        <v>877</v>
      </c>
      <c r="E10" s="7" t="s">
        <v>878</v>
      </c>
      <c r="F10" s="5" t="s">
        <v>879</v>
      </c>
      <c r="G10" s="7" t="s">
        <v>880</v>
      </c>
    </row>
    <row r="11" customFormat="false" ht="75.75" hidden="false" customHeight="true" outlineLevel="0" collapsed="false">
      <c r="A11" s="5" t="s">
        <v>881</v>
      </c>
      <c r="B11" s="5" t="s">
        <v>882</v>
      </c>
      <c r="C11" s="5" t="s">
        <v>20</v>
      </c>
      <c r="D11" s="7" t="s">
        <v>883</v>
      </c>
      <c r="E11" s="7" t="s">
        <v>884</v>
      </c>
      <c r="F11" s="5" t="s">
        <v>851</v>
      </c>
      <c r="G11" s="7" t="s">
        <v>885</v>
      </c>
    </row>
    <row r="14" customFormat="false" ht="16.15" hidden="false" customHeight="false" outlineLevel="0" collapsed="false">
      <c r="A14" s="36" t="s">
        <v>886</v>
      </c>
    </row>
    <row r="15" customFormat="false" ht="31.5" hidden="false" customHeight="true" outlineLevel="0" collapsed="false">
      <c r="A15" s="3" t="s">
        <v>5</v>
      </c>
      <c r="B15" s="3" t="s">
        <v>887</v>
      </c>
      <c r="C15" s="3" t="s">
        <v>888</v>
      </c>
      <c r="D15" s="3" t="s">
        <v>889</v>
      </c>
      <c r="E15" s="3" t="s">
        <v>890</v>
      </c>
    </row>
    <row r="16" customFormat="false" ht="57.75" hidden="false" customHeight="true" outlineLevel="0" collapsed="false">
      <c r="A16" s="5" t="s">
        <v>31</v>
      </c>
      <c r="B16" s="5" t="s">
        <v>891</v>
      </c>
      <c r="C16" s="7" t="s">
        <v>892</v>
      </c>
      <c r="D16" s="7" t="s">
        <v>893</v>
      </c>
      <c r="E16" s="7" t="s">
        <v>894</v>
      </c>
    </row>
    <row r="17" customFormat="false" ht="57.75" hidden="false" customHeight="true" outlineLevel="0" collapsed="false">
      <c r="A17" s="5" t="s">
        <v>67</v>
      </c>
      <c r="B17" s="5" t="s">
        <v>895</v>
      </c>
      <c r="C17" s="7" t="s">
        <v>896</v>
      </c>
      <c r="D17" s="7" t="s">
        <v>897</v>
      </c>
      <c r="E17" s="7" t="s">
        <v>898</v>
      </c>
    </row>
    <row r="18" customFormat="false" ht="57.75" hidden="false" customHeight="true" outlineLevel="0" collapsed="false">
      <c r="A18" s="5" t="s">
        <v>75</v>
      </c>
      <c r="B18" s="5" t="s">
        <v>899</v>
      </c>
      <c r="C18" s="7" t="s">
        <v>900</v>
      </c>
      <c r="D18" s="7" t="s">
        <v>901</v>
      </c>
      <c r="E18" s="7" t="s">
        <v>902</v>
      </c>
    </row>
    <row r="19" customFormat="false" ht="57.75" hidden="false" customHeight="true" outlineLevel="0" collapsed="false">
      <c r="A19" s="5" t="s">
        <v>59</v>
      </c>
      <c r="B19" s="5" t="s">
        <v>903</v>
      </c>
      <c r="C19" s="7" t="s">
        <v>904</v>
      </c>
      <c r="D19" s="7" t="s">
        <v>905</v>
      </c>
      <c r="E19" s="7" t="s">
        <v>906</v>
      </c>
    </row>
    <row r="20" customFormat="false" ht="57.75" hidden="false" customHeight="true" outlineLevel="0" collapsed="false">
      <c r="A20" s="5" t="s">
        <v>94</v>
      </c>
      <c r="B20" s="5" t="s">
        <v>907</v>
      </c>
      <c r="C20" s="7" t="s">
        <v>908</v>
      </c>
      <c r="D20" s="7" t="s">
        <v>909</v>
      </c>
      <c r="E20" s="7" t="s">
        <v>910</v>
      </c>
    </row>
    <row r="21" customFormat="false" ht="57.75" hidden="false" customHeight="true" outlineLevel="0" collapsed="false">
      <c r="A21" s="5" t="s">
        <v>20</v>
      </c>
      <c r="B21" s="5" t="s">
        <v>911</v>
      </c>
      <c r="C21" s="7" t="s">
        <v>912</v>
      </c>
      <c r="D21" s="7" t="s">
        <v>913</v>
      </c>
      <c r="E21" s="7" t="s">
        <v>914</v>
      </c>
    </row>
    <row r="24" customFormat="false" ht="16.15" hidden="false" customHeight="false" outlineLevel="0" collapsed="false">
      <c r="A24" s="36" t="s">
        <v>915</v>
      </c>
    </row>
    <row r="25" customFormat="false" ht="31.5" hidden="false" customHeight="true" outlineLevel="0" collapsed="false">
      <c r="A25" s="3" t="s">
        <v>916</v>
      </c>
      <c r="B25" s="3" t="s">
        <v>631</v>
      </c>
      <c r="C25" s="3" t="s">
        <v>917</v>
      </c>
      <c r="D25" s="3" t="s">
        <v>918</v>
      </c>
      <c r="E25" s="3" t="s">
        <v>919</v>
      </c>
    </row>
    <row r="26" customFormat="false" ht="45.75" hidden="false" customHeight="true" outlineLevel="0" collapsed="false">
      <c r="A26" s="5" t="s">
        <v>920</v>
      </c>
      <c r="B26" s="5" t="s">
        <v>921</v>
      </c>
      <c r="C26" s="7" t="s">
        <v>922</v>
      </c>
      <c r="D26" s="5" t="s">
        <v>923</v>
      </c>
      <c r="E26" s="7" t="s">
        <v>924</v>
      </c>
    </row>
    <row r="27" customFormat="false" ht="45.75" hidden="false" customHeight="true" outlineLevel="0" collapsed="false">
      <c r="A27" s="5" t="s">
        <v>925</v>
      </c>
      <c r="B27" s="5" t="s">
        <v>926</v>
      </c>
      <c r="C27" s="7" t="s">
        <v>927</v>
      </c>
      <c r="D27" s="5" t="s">
        <v>928</v>
      </c>
      <c r="E27" s="7" t="s">
        <v>929</v>
      </c>
    </row>
    <row r="28" customFormat="false" ht="45.75" hidden="false" customHeight="true" outlineLevel="0" collapsed="false">
      <c r="A28" s="5" t="s">
        <v>930</v>
      </c>
      <c r="B28" s="5" t="s">
        <v>931</v>
      </c>
      <c r="C28" s="7" t="s">
        <v>932</v>
      </c>
      <c r="D28" s="5" t="s">
        <v>933</v>
      </c>
      <c r="E28" s="7" t="s">
        <v>934</v>
      </c>
    </row>
    <row r="29" customFormat="false" ht="45.75" hidden="false" customHeight="true" outlineLevel="0" collapsed="false">
      <c r="A29" s="5" t="s">
        <v>935</v>
      </c>
      <c r="B29" s="5" t="s">
        <v>921</v>
      </c>
      <c r="C29" s="7" t="s">
        <v>936</v>
      </c>
      <c r="D29" s="5" t="s">
        <v>937</v>
      </c>
      <c r="E29" s="7" t="s">
        <v>938</v>
      </c>
    </row>
    <row r="30" customFormat="false" ht="45.75" hidden="false" customHeight="true" outlineLevel="0" collapsed="false">
      <c r="A30" s="5" t="s">
        <v>939</v>
      </c>
      <c r="B30" s="5" t="s">
        <v>940</v>
      </c>
      <c r="C30" s="7" t="s">
        <v>941</v>
      </c>
      <c r="D30" s="5" t="s">
        <v>942</v>
      </c>
      <c r="E30" s="7" t="s">
        <v>943</v>
      </c>
    </row>
    <row r="31" customFormat="false" ht="45.75" hidden="false" customHeight="true" outlineLevel="0" collapsed="false">
      <c r="A31" s="5" t="s">
        <v>944</v>
      </c>
      <c r="B31" s="5" t="s">
        <v>945</v>
      </c>
      <c r="C31" s="7" t="s">
        <v>946</v>
      </c>
      <c r="D31" s="5" t="s">
        <v>947</v>
      </c>
      <c r="E31" s="7" t="s">
        <v>948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40"/>
    <col collapsed="false" customWidth="true" hidden="false" outlineLevel="0" max="4" min="4" style="0" width="60"/>
    <col collapsed="false" customWidth="true" hidden="false" outlineLevel="0" max="5" min="5" style="0" width="13"/>
    <col collapsed="false" customWidth="true" hidden="false" outlineLevel="0" max="6" min="6" style="0" width="11"/>
    <col collapsed="false" customWidth="true" hidden="false" outlineLevel="0" max="8" min="7" style="0" width="9"/>
    <col collapsed="false" customWidth="true" hidden="false" outlineLevel="0" max="9" min="9" style="0" width="11"/>
    <col collapsed="false" customWidth="true" hidden="false" outlineLevel="0" max="10" min="10" style="0" width="10"/>
    <col collapsed="false" customWidth="true" hidden="false" outlineLevel="0" max="14" min="11" style="0" width="12"/>
    <col collapsed="false" customWidth="true" hidden="false" outlineLevel="0" max="15" min="15" style="0" width="46"/>
  </cols>
  <sheetData>
    <row r="1" customFormat="false" ht="25.5" hidden="false" customHeight="true" outlineLevel="0" collapsed="false">
      <c r="A1" s="25" t="s">
        <v>949</v>
      </c>
      <c r="B1" s="25"/>
      <c r="C1" s="25"/>
      <c r="D1" s="25"/>
      <c r="E1" s="25"/>
      <c r="F1" s="25"/>
      <c r="G1" s="25"/>
      <c r="H1" s="25"/>
      <c r="I1" s="25"/>
      <c r="J1" s="25"/>
      <c r="K1" s="25"/>
      <c r="L1" s="25"/>
      <c r="M1" s="25"/>
      <c r="N1" s="25"/>
      <c r="O1" s="25"/>
    </row>
    <row r="2" customFormat="false" ht="15.75" hidden="false" customHeight="true" outlineLevel="0" collapsed="false">
      <c r="A2" s="2" t="s">
        <v>950</v>
      </c>
      <c r="B2" s="2"/>
      <c r="C2" s="2"/>
      <c r="D2" s="2"/>
      <c r="E2" s="2"/>
      <c r="F2" s="2"/>
      <c r="G2" s="2"/>
      <c r="H2" s="2"/>
      <c r="I2" s="2"/>
      <c r="J2" s="2"/>
      <c r="K2" s="2"/>
      <c r="L2" s="2"/>
      <c r="M2" s="2"/>
      <c r="N2" s="2"/>
      <c r="O2" s="2"/>
    </row>
    <row r="4" customFormat="false" ht="33.75" hidden="false" customHeight="true" outlineLevel="0" collapsed="false">
      <c r="A4" s="3" t="s">
        <v>951</v>
      </c>
      <c r="B4" s="3" t="s">
        <v>952</v>
      </c>
      <c r="C4" s="3" t="s">
        <v>953</v>
      </c>
      <c r="D4" s="3" t="s">
        <v>954</v>
      </c>
      <c r="E4" s="3" t="s">
        <v>955</v>
      </c>
      <c r="F4" s="3" t="s">
        <v>956</v>
      </c>
      <c r="G4" s="3" t="s">
        <v>17</v>
      </c>
      <c r="H4" s="3" t="s">
        <v>957</v>
      </c>
      <c r="I4" s="3" t="s">
        <v>958</v>
      </c>
      <c r="J4" s="3" t="s">
        <v>959</v>
      </c>
      <c r="K4" s="3" t="s">
        <v>960</v>
      </c>
      <c r="L4" s="3" t="s">
        <v>961</v>
      </c>
      <c r="M4" s="3" t="s">
        <v>962</v>
      </c>
      <c r="N4" s="3" t="s">
        <v>963</v>
      </c>
      <c r="O4" s="3" t="s">
        <v>964</v>
      </c>
    </row>
    <row r="5" customFormat="false" ht="30" hidden="false" customHeight="true" outlineLevel="0" collapsed="false">
      <c r="A5" s="27" t="s">
        <v>50</v>
      </c>
      <c r="B5" s="37" t="n">
        <v>46279</v>
      </c>
      <c r="C5" s="38"/>
      <c r="D5" s="38"/>
      <c r="E5" s="39"/>
      <c r="F5" s="38"/>
      <c r="G5" s="38"/>
      <c r="H5" s="38"/>
      <c r="I5" s="38"/>
      <c r="J5" s="38"/>
      <c r="K5" s="38"/>
      <c r="L5" s="38"/>
      <c r="M5" s="38"/>
      <c r="N5" s="38"/>
      <c r="O5" s="7"/>
    </row>
    <row r="6" customFormat="false" ht="30" hidden="false" customHeight="true" outlineLevel="0" collapsed="false">
      <c r="A6" s="27" t="s">
        <v>87</v>
      </c>
      <c r="B6" s="37" t="n">
        <v>46286</v>
      </c>
      <c r="C6" s="38"/>
      <c r="D6" s="38"/>
      <c r="E6" s="39"/>
      <c r="F6" s="38"/>
      <c r="G6" s="38"/>
      <c r="H6" s="38"/>
      <c r="I6" s="38"/>
      <c r="J6" s="38"/>
      <c r="K6" s="38"/>
      <c r="L6" s="38"/>
      <c r="M6" s="38"/>
      <c r="N6" s="38"/>
      <c r="O6" s="7"/>
    </row>
    <row r="7" customFormat="false" ht="30" hidden="false" customHeight="true" outlineLevel="0" collapsed="false">
      <c r="A7" s="27" t="s">
        <v>119</v>
      </c>
      <c r="B7" s="37" t="n">
        <v>46293</v>
      </c>
      <c r="C7" s="38"/>
      <c r="D7" s="38"/>
      <c r="E7" s="39"/>
      <c r="F7" s="38"/>
      <c r="G7" s="38"/>
      <c r="H7" s="38"/>
      <c r="I7" s="38"/>
      <c r="J7" s="38"/>
      <c r="K7" s="38"/>
      <c r="L7" s="38"/>
      <c r="M7" s="38"/>
      <c r="N7" s="38"/>
      <c r="O7" s="7"/>
    </row>
    <row r="8" customFormat="false" ht="30" hidden="false" customHeight="true" outlineLevel="0" collapsed="false">
      <c r="A8" s="27" t="s">
        <v>147</v>
      </c>
      <c r="B8" s="37" t="n">
        <v>46300</v>
      </c>
      <c r="C8" s="38"/>
      <c r="D8" s="38"/>
      <c r="E8" s="39"/>
      <c r="F8" s="38"/>
      <c r="G8" s="38"/>
      <c r="H8" s="38"/>
      <c r="I8" s="38"/>
      <c r="J8" s="38"/>
      <c r="K8" s="38"/>
      <c r="L8" s="38"/>
      <c r="M8" s="38"/>
      <c r="N8" s="38"/>
      <c r="O8" s="7"/>
    </row>
    <row r="9" customFormat="false" ht="30" hidden="false" customHeight="true" outlineLevel="0" collapsed="false">
      <c r="A9" s="27" t="s">
        <v>175</v>
      </c>
      <c r="B9" s="37" t="n">
        <v>46307</v>
      </c>
      <c r="C9" s="38"/>
      <c r="D9" s="38"/>
      <c r="E9" s="39"/>
      <c r="F9" s="38"/>
      <c r="G9" s="38"/>
      <c r="H9" s="38"/>
      <c r="I9" s="38"/>
      <c r="J9" s="38"/>
      <c r="K9" s="38"/>
      <c r="L9" s="38"/>
      <c r="M9" s="38"/>
      <c r="N9" s="38"/>
      <c r="O9" s="7"/>
    </row>
    <row r="10" customFormat="false" ht="30" hidden="false" customHeight="true" outlineLevel="0" collapsed="false">
      <c r="A10" s="27" t="s">
        <v>205</v>
      </c>
      <c r="B10" s="37" t="n">
        <v>46314</v>
      </c>
      <c r="C10" s="38"/>
      <c r="D10" s="38"/>
      <c r="E10" s="39"/>
      <c r="F10" s="38"/>
      <c r="G10" s="38"/>
      <c r="H10" s="38"/>
      <c r="I10" s="38"/>
      <c r="J10" s="38"/>
      <c r="K10" s="38"/>
      <c r="L10" s="38"/>
      <c r="M10" s="38"/>
      <c r="N10" s="38"/>
      <c r="O10" s="7"/>
    </row>
    <row r="11" customFormat="false" ht="30" hidden="false" customHeight="true" outlineLevel="0" collapsed="false">
      <c r="A11" s="27" t="s">
        <v>232</v>
      </c>
      <c r="B11" s="37" t="n">
        <v>46321</v>
      </c>
      <c r="C11" s="38"/>
      <c r="D11" s="38"/>
      <c r="E11" s="39"/>
      <c r="F11" s="38"/>
      <c r="G11" s="38"/>
      <c r="H11" s="38"/>
      <c r="I11" s="38"/>
      <c r="J11" s="38"/>
      <c r="K11" s="38"/>
      <c r="L11" s="38"/>
      <c r="M11" s="38"/>
      <c r="N11" s="38"/>
      <c r="O11" s="7"/>
    </row>
    <row r="12" customFormat="false" ht="30" hidden="false" customHeight="true" outlineLevel="0" collapsed="false">
      <c r="A12" s="27" t="s">
        <v>260</v>
      </c>
      <c r="B12" s="37" t="n">
        <v>46328</v>
      </c>
      <c r="C12" s="38"/>
      <c r="D12" s="38"/>
      <c r="E12" s="39"/>
      <c r="F12" s="38"/>
      <c r="G12" s="38"/>
      <c r="H12" s="38"/>
      <c r="I12" s="38"/>
      <c r="J12" s="38"/>
      <c r="K12" s="38"/>
      <c r="L12" s="38"/>
      <c r="M12" s="38"/>
      <c r="N12" s="38"/>
      <c r="O12" s="7"/>
    </row>
    <row r="13" customFormat="false" ht="30" hidden="false" customHeight="true" outlineLevel="0" collapsed="false">
      <c r="A13" s="27" t="s">
        <v>289</v>
      </c>
      <c r="B13" s="37" t="n">
        <v>46335</v>
      </c>
      <c r="C13" s="38"/>
      <c r="D13" s="38"/>
      <c r="E13" s="39"/>
      <c r="F13" s="38"/>
      <c r="G13" s="38"/>
      <c r="H13" s="38"/>
      <c r="I13" s="38"/>
      <c r="J13" s="38"/>
      <c r="K13" s="38"/>
      <c r="L13" s="38"/>
      <c r="M13" s="38"/>
      <c r="N13" s="38"/>
      <c r="O13" s="7"/>
    </row>
    <row r="14" customFormat="false" ht="30" hidden="false" customHeight="true" outlineLevel="0" collapsed="false">
      <c r="A14" s="27" t="s">
        <v>317</v>
      </c>
      <c r="B14" s="37" t="n">
        <v>46342</v>
      </c>
      <c r="C14" s="38"/>
      <c r="D14" s="38"/>
      <c r="E14" s="39"/>
      <c r="F14" s="38"/>
      <c r="G14" s="38"/>
      <c r="H14" s="38"/>
      <c r="I14" s="38"/>
      <c r="J14" s="38"/>
      <c r="K14" s="38"/>
      <c r="L14" s="38"/>
      <c r="M14" s="38"/>
      <c r="N14" s="38"/>
      <c r="O14" s="7"/>
    </row>
    <row r="15" customFormat="false" ht="30" hidden="false" customHeight="true" outlineLevel="0" collapsed="false">
      <c r="A15" s="27" t="s">
        <v>346</v>
      </c>
      <c r="B15" s="37" t="n">
        <v>46349</v>
      </c>
      <c r="C15" s="38"/>
      <c r="D15" s="38"/>
      <c r="E15" s="39"/>
      <c r="F15" s="38"/>
      <c r="G15" s="38"/>
      <c r="H15" s="38"/>
      <c r="I15" s="38"/>
      <c r="J15" s="38"/>
      <c r="K15" s="38"/>
      <c r="L15" s="38"/>
      <c r="M15" s="38"/>
      <c r="N15" s="38"/>
      <c r="O15" s="7"/>
    </row>
    <row r="16" customFormat="false" ht="30" hidden="false" customHeight="true" outlineLevel="0" collapsed="false">
      <c r="A16" s="27" t="s">
        <v>374</v>
      </c>
      <c r="B16" s="37" t="n">
        <v>46356</v>
      </c>
      <c r="C16" s="38"/>
      <c r="D16" s="38"/>
      <c r="E16" s="39"/>
      <c r="F16" s="38"/>
      <c r="G16" s="38"/>
      <c r="H16" s="38"/>
      <c r="I16" s="38"/>
      <c r="J16" s="38"/>
      <c r="K16" s="38"/>
      <c r="L16" s="38"/>
      <c r="M16" s="38"/>
      <c r="N16" s="38"/>
      <c r="O16" s="7"/>
    </row>
    <row r="17" customFormat="false" ht="30" hidden="false" customHeight="true" outlineLevel="0" collapsed="false">
      <c r="A17" s="27" t="s">
        <v>403</v>
      </c>
      <c r="B17" s="37" t="n">
        <v>46363</v>
      </c>
      <c r="C17" s="38"/>
      <c r="D17" s="38"/>
      <c r="E17" s="39"/>
      <c r="F17" s="38"/>
      <c r="G17" s="38"/>
      <c r="H17" s="38"/>
      <c r="I17" s="38"/>
      <c r="J17" s="38"/>
      <c r="K17" s="38"/>
      <c r="L17" s="38"/>
      <c r="M17" s="38"/>
      <c r="N17" s="38"/>
      <c r="O17" s="7"/>
    </row>
    <row r="18" customFormat="false" ht="15" hidden="false" customHeight="false" outlineLevel="0" collapsed="false">
      <c r="A18" s="40" t="s">
        <v>440</v>
      </c>
      <c r="C18" s="41" t="n">
        <f aca="false">SUM(C5:C17)</f>
        <v>0</v>
      </c>
      <c r="D18" s="41" t="n">
        <f aca="false">SUM(D5:D17)</f>
        <v>0</v>
      </c>
      <c r="E18" s="42" t="n">
        <f aca="false">IFERROR(AVERAGE(E5:E17),0)</f>
        <v>0</v>
      </c>
      <c r="F18" s="41" t="n">
        <f aca="false">SUM(F5:F17)</f>
        <v>0</v>
      </c>
      <c r="G18" s="41" t="n">
        <f aca="false">SUM(G5:G17)</f>
        <v>0</v>
      </c>
      <c r="H18" s="41" t="n">
        <f aca="false">SUM(H5:H17)</f>
        <v>0</v>
      </c>
      <c r="I18" s="41" t="n">
        <f aca="false">SUM(I5:I17)</f>
        <v>0</v>
      </c>
      <c r="J18" s="41" t="n">
        <f aca="false">SUM(J5:J17)</f>
        <v>0</v>
      </c>
      <c r="K18" s="41" t="n">
        <f aca="false">SUM(K5:K17)</f>
        <v>0</v>
      </c>
      <c r="L18" s="41" t="n">
        <f aca="false">SUM(L5:L17)</f>
        <v>0</v>
      </c>
      <c r="M18" s="41" t="n">
        <f aca="false">SUM(M5:M17)</f>
        <v>0</v>
      </c>
      <c r="N18" s="41" t="n">
        <f aca="false">SUM(N5:N17)</f>
        <v>0</v>
      </c>
    </row>
    <row r="21" customFormat="false" ht="16.15" hidden="false" customHeight="false" outlineLevel="0" collapsed="false">
      <c r="A21" s="36" t="s">
        <v>965</v>
      </c>
    </row>
    <row r="22" customFormat="false" ht="33.75" hidden="false" customHeight="true" outlineLevel="0" collapsed="false">
      <c r="A22" s="3" t="s">
        <v>966</v>
      </c>
      <c r="B22" s="3" t="s">
        <v>967</v>
      </c>
      <c r="C22" s="3" t="s">
        <v>968</v>
      </c>
      <c r="D22" s="3" t="s">
        <v>969</v>
      </c>
    </row>
    <row r="23" customFormat="false" ht="39.75" hidden="false" customHeight="true" outlineLevel="0" collapsed="false">
      <c r="A23" s="43" t="s">
        <v>970</v>
      </c>
      <c r="B23" s="44" t="n">
        <f aca="false">IFERROR(D18/C18,0)</f>
        <v>0</v>
      </c>
      <c r="C23" s="7" t="s">
        <v>971</v>
      </c>
      <c r="D23" s="7" t="s">
        <v>972</v>
      </c>
    </row>
    <row r="24" customFormat="false" ht="39.75" hidden="false" customHeight="true" outlineLevel="0" collapsed="false">
      <c r="A24" s="43" t="s">
        <v>973</v>
      </c>
      <c r="B24" s="45" t="n">
        <f aca="false">IFERROR(G18/D18,0)</f>
        <v>0</v>
      </c>
      <c r="C24" s="7" t="s">
        <v>974</v>
      </c>
      <c r="D24" s="7" t="s">
        <v>975</v>
      </c>
    </row>
    <row r="25" customFormat="false" ht="39.75" hidden="false" customHeight="true" outlineLevel="0" collapsed="false">
      <c r="A25" s="43" t="s">
        <v>976</v>
      </c>
      <c r="B25" s="45" t="n">
        <f aca="false">IFERROR(H18/D18,0)</f>
        <v>0</v>
      </c>
      <c r="C25" s="7" t="s">
        <v>977</v>
      </c>
      <c r="D25" s="7" t="s">
        <v>978</v>
      </c>
    </row>
    <row r="26" customFormat="false" ht="39.75" hidden="false" customHeight="true" outlineLevel="0" collapsed="false">
      <c r="A26" s="43" t="s">
        <v>979</v>
      </c>
      <c r="B26" s="45" t="n">
        <f aca="false">IFERROR(I18/D18,0)</f>
        <v>0</v>
      </c>
      <c r="C26" s="7" t="s">
        <v>980</v>
      </c>
      <c r="D26" s="7" t="s">
        <v>981</v>
      </c>
    </row>
    <row r="27" customFormat="false" ht="39.75" hidden="false" customHeight="true" outlineLevel="0" collapsed="false">
      <c r="A27" s="43" t="s">
        <v>982</v>
      </c>
      <c r="B27" s="44" t="n">
        <f aca="false">IFERROR(J18/I18,0)</f>
        <v>0</v>
      </c>
      <c r="C27" s="7" t="s">
        <v>983</v>
      </c>
      <c r="D27" s="7" t="s">
        <v>984</v>
      </c>
    </row>
    <row r="28" customFormat="false" ht="39.75" hidden="false" customHeight="true" outlineLevel="0" collapsed="false">
      <c r="A28" s="43" t="s">
        <v>985</v>
      </c>
      <c r="B28" s="45" t="n">
        <f aca="false">IFERROR(L18/K18,0)</f>
        <v>0</v>
      </c>
      <c r="C28" s="7" t="s">
        <v>986</v>
      </c>
      <c r="D28" s="7" t="s">
        <v>987</v>
      </c>
    </row>
    <row r="29" customFormat="false" ht="39.75" hidden="false" customHeight="true" outlineLevel="0" collapsed="false">
      <c r="A29" s="43" t="s">
        <v>988</v>
      </c>
      <c r="B29" s="45" t="n">
        <f aca="false">IFERROR(N18/M18,0)</f>
        <v>0</v>
      </c>
      <c r="C29" s="7" t="s">
        <v>989</v>
      </c>
      <c r="D29" s="7" t="s">
        <v>990</v>
      </c>
    </row>
    <row r="30" customFormat="false" ht="39.75" hidden="false" customHeight="true" outlineLevel="0" collapsed="false">
      <c r="A30" s="43" t="s">
        <v>991</v>
      </c>
      <c r="B30" s="44"/>
      <c r="C30" s="7" t="s">
        <v>992</v>
      </c>
      <c r="D30" s="7" t="s">
        <v>993</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2"/>
    <col collapsed="false" customWidth="true" hidden="false" outlineLevel="0" max="3" min="3" style="0" width="28"/>
    <col collapsed="false" customWidth="true" hidden="false" outlineLevel="0" max="4" min="4" style="0" width="24"/>
    <col collapsed="false" customWidth="true" hidden="false" outlineLevel="0" max="5" min="5" style="0" width="26"/>
    <col collapsed="false" customWidth="true" hidden="false" outlineLevel="0" max="6" min="6" style="0" width="11"/>
    <col collapsed="false" customWidth="true" hidden="false" outlineLevel="0" max="7" min="7" style="0" width="52"/>
  </cols>
  <sheetData>
    <row r="1" customFormat="false" ht="25.5" hidden="false" customHeight="true" outlineLevel="0" collapsed="false">
      <c r="A1" s="25" t="s">
        <v>994</v>
      </c>
      <c r="B1" s="25"/>
      <c r="C1" s="25"/>
      <c r="D1" s="25"/>
      <c r="E1" s="25"/>
      <c r="F1" s="25"/>
      <c r="G1" s="25"/>
    </row>
    <row r="2" customFormat="false" ht="15.75" hidden="false" customHeight="true" outlineLevel="0" collapsed="false">
      <c r="A2" s="2" t="s">
        <v>995</v>
      </c>
      <c r="B2" s="2"/>
      <c r="C2" s="2"/>
      <c r="D2" s="2"/>
      <c r="E2" s="2"/>
      <c r="F2" s="2"/>
      <c r="G2" s="2"/>
    </row>
    <row r="4" customFormat="false" ht="33.75" hidden="false" customHeight="true" outlineLevel="0" collapsed="false">
      <c r="A4" s="3" t="s">
        <v>996</v>
      </c>
      <c r="B4" s="3" t="s">
        <v>997</v>
      </c>
      <c r="C4" s="3" t="s">
        <v>998</v>
      </c>
      <c r="D4" s="3" t="s">
        <v>999</v>
      </c>
      <c r="E4" s="3" t="s">
        <v>1000</v>
      </c>
      <c r="F4" s="3" t="s">
        <v>1001</v>
      </c>
      <c r="G4" s="3" t="s">
        <v>1002</v>
      </c>
    </row>
    <row r="5" customFormat="false" ht="33.75" hidden="false" customHeight="true" outlineLevel="0" collapsed="false">
      <c r="A5" s="5" t="s">
        <v>1003</v>
      </c>
      <c r="B5" s="7" t="s">
        <v>1004</v>
      </c>
      <c r="C5" s="5" t="s">
        <v>1005</v>
      </c>
      <c r="D5" s="5" t="s">
        <v>1006</v>
      </c>
      <c r="E5" s="5" t="s">
        <v>1007</v>
      </c>
      <c r="F5" s="46" t="s">
        <v>645</v>
      </c>
      <c r="G5" s="7" t="s">
        <v>1008</v>
      </c>
    </row>
    <row r="6" customFormat="false" ht="33.75" hidden="false" customHeight="true" outlineLevel="0" collapsed="false">
      <c r="A6" s="5" t="s">
        <v>1009</v>
      </c>
      <c r="B6" s="7" t="s">
        <v>1010</v>
      </c>
      <c r="C6" s="5" t="s">
        <v>1011</v>
      </c>
      <c r="D6" s="5" t="s">
        <v>1012</v>
      </c>
      <c r="E6" s="5" t="s">
        <v>1013</v>
      </c>
      <c r="F6" s="46" t="s">
        <v>645</v>
      </c>
      <c r="G6" s="7" t="s">
        <v>1014</v>
      </c>
    </row>
    <row r="7" customFormat="false" ht="33.75" hidden="false" customHeight="true" outlineLevel="0" collapsed="false">
      <c r="A7" s="5" t="s">
        <v>1015</v>
      </c>
      <c r="B7" s="7" t="s">
        <v>1016</v>
      </c>
      <c r="C7" s="5" t="s">
        <v>1017</v>
      </c>
      <c r="D7" s="5" t="s">
        <v>1018</v>
      </c>
      <c r="E7" s="5" t="s">
        <v>1013</v>
      </c>
      <c r="F7" s="47" t="s">
        <v>1019</v>
      </c>
      <c r="G7" s="7" t="s">
        <v>1020</v>
      </c>
    </row>
    <row r="8" customFormat="false" ht="33.75" hidden="false" customHeight="true" outlineLevel="0" collapsed="false">
      <c r="A8" s="5" t="s">
        <v>1021</v>
      </c>
      <c r="B8" s="7" t="s">
        <v>1022</v>
      </c>
      <c r="C8" s="5" t="s">
        <v>1023</v>
      </c>
      <c r="D8" s="5" t="s">
        <v>1024</v>
      </c>
      <c r="E8" s="5" t="s">
        <v>1013</v>
      </c>
      <c r="F8" s="47" t="s">
        <v>1019</v>
      </c>
      <c r="G8" s="7" t="s">
        <v>1025</v>
      </c>
    </row>
    <row r="9" customFormat="false" ht="33.75" hidden="false" customHeight="true" outlineLevel="0" collapsed="false">
      <c r="A9" s="5" t="s">
        <v>1026</v>
      </c>
      <c r="B9" s="7" t="s">
        <v>1027</v>
      </c>
      <c r="C9" s="5" t="s">
        <v>516</v>
      </c>
      <c r="D9" s="5" t="s">
        <v>1028</v>
      </c>
      <c r="E9" s="5" t="s">
        <v>1029</v>
      </c>
      <c r="F9" s="46" t="s">
        <v>645</v>
      </c>
      <c r="G9" s="7" t="s">
        <v>1030</v>
      </c>
    </row>
    <row r="10" customFormat="false" ht="33.75" hidden="false" customHeight="true" outlineLevel="0" collapsed="false">
      <c r="A10" s="5" t="s">
        <v>1031</v>
      </c>
      <c r="B10" s="7" t="s">
        <v>146</v>
      </c>
      <c r="C10" s="5" t="s">
        <v>1032</v>
      </c>
      <c r="D10" s="5" t="s">
        <v>1033</v>
      </c>
      <c r="E10" s="5" t="s">
        <v>1013</v>
      </c>
      <c r="F10" s="46" t="s">
        <v>645</v>
      </c>
      <c r="G10" s="7" t="s">
        <v>1034</v>
      </c>
    </row>
    <row r="11" customFormat="false" ht="33.75" hidden="false" customHeight="true" outlineLevel="0" collapsed="false">
      <c r="A11" s="5" t="s">
        <v>1035</v>
      </c>
      <c r="B11" s="7" t="s">
        <v>1036</v>
      </c>
      <c r="C11" s="5" t="s">
        <v>1037</v>
      </c>
      <c r="D11" s="5" t="s">
        <v>1038</v>
      </c>
      <c r="E11" s="5" t="s">
        <v>1039</v>
      </c>
      <c r="F11" s="46" t="s">
        <v>645</v>
      </c>
      <c r="G11" s="7" t="s">
        <v>1040</v>
      </c>
    </row>
    <row r="12" customFormat="false" ht="33.75" hidden="false" customHeight="true" outlineLevel="0" collapsed="false">
      <c r="A12" s="5" t="s">
        <v>1041</v>
      </c>
      <c r="B12" s="7" t="s">
        <v>1042</v>
      </c>
      <c r="C12" s="5" t="s">
        <v>1043</v>
      </c>
      <c r="D12" s="5" t="s">
        <v>1044</v>
      </c>
      <c r="E12" s="5" t="s">
        <v>1045</v>
      </c>
      <c r="F12" s="48" t="s">
        <v>1046</v>
      </c>
      <c r="G12" s="7" t="s">
        <v>1047</v>
      </c>
    </row>
    <row r="13" customFormat="false" ht="33.75" hidden="false" customHeight="true" outlineLevel="0" collapsed="false">
      <c r="A13" s="5" t="s">
        <v>1048</v>
      </c>
      <c r="B13" s="7" t="s">
        <v>1049</v>
      </c>
      <c r="C13" s="5" t="s">
        <v>516</v>
      </c>
      <c r="D13" s="5" t="s">
        <v>1028</v>
      </c>
      <c r="E13" s="5" t="s">
        <v>1039</v>
      </c>
      <c r="F13" s="47" t="s">
        <v>1019</v>
      </c>
      <c r="G13" s="7" t="s">
        <v>1050</v>
      </c>
    </row>
    <row r="14" customFormat="false" ht="33.75" hidden="false" customHeight="true" outlineLevel="0" collapsed="false">
      <c r="A14" s="5" t="s">
        <v>1051</v>
      </c>
      <c r="B14" s="7" t="s">
        <v>1052</v>
      </c>
      <c r="C14" s="5" t="s">
        <v>1053</v>
      </c>
      <c r="D14" s="5" t="s">
        <v>1054</v>
      </c>
      <c r="E14" s="5" t="s">
        <v>1054</v>
      </c>
      <c r="F14" s="9" t="s">
        <v>1055</v>
      </c>
      <c r="G14" s="7" t="s">
        <v>1056</v>
      </c>
    </row>
    <row r="15" customFormat="false" ht="33.75" hidden="false" customHeight="true" outlineLevel="0" collapsed="false">
      <c r="A15" s="5" t="s">
        <v>1057</v>
      </c>
      <c r="B15" s="7" t="s">
        <v>1058</v>
      </c>
      <c r="C15" s="5" t="s">
        <v>1053</v>
      </c>
      <c r="D15" s="5" t="s">
        <v>1054</v>
      </c>
      <c r="E15" s="5" t="s">
        <v>1059</v>
      </c>
      <c r="F15" s="46" t="s">
        <v>645</v>
      </c>
      <c r="G15" s="7" t="s">
        <v>1060</v>
      </c>
    </row>
    <row r="16" customFormat="false" ht="33.75" hidden="false" customHeight="true" outlineLevel="0" collapsed="false">
      <c r="A16" s="5" t="s">
        <v>1061</v>
      </c>
      <c r="B16" s="7" t="s">
        <v>1062</v>
      </c>
      <c r="C16" s="5" t="s">
        <v>1053</v>
      </c>
      <c r="D16" s="5" t="s">
        <v>1054</v>
      </c>
      <c r="E16" s="5" t="s">
        <v>1063</v>
      </c>
      <c r="F16" s="46" t="s">
        <v>645</v>
      </c>
      <c r="G16" s="7" t="s">
        <v>1064</v>
      </c>
    </row>
    <row r="17" customFormat="false" ht="33.75" hidden="false" customHeight="true" outlineLevel="0" collapsed="false">
      <c r="A17" s="5" t="s">
        <v>1065</v>
      </c>
      <c r="B17" s="7" t="s">
        <v>1066</v>
      </c>
      <c r="C17" s="5" t="s">
        <v>1053</v>
      </c>
      <c r="D17" s="5" t="s">
        <v>1054</v>
      </c>
      <c r="E17" s="5" t="s">
        <v>1059</v>
      </c>
      <c r="F17" s="46" t="s">
        <v>645</v>
      </c>
      <c r="G17" s="7" t="s">
        <v>1067</v>
      </c>
    </row>
    <row r="18" customFormat="false" ht="33.75" hidden="false" customHeight="true" outlineLevel="0" collapsed="false">
      <c r="A18" s="5" t="s">
        <v>1068</v>
      </c>
      <c r="B18" s="7" t="s">
        <v>1069</v>
      </c>
      <c r="C18" s="5" t="s">
        <v>1070</v>
      </c>
      <c r="D18" s="5" t="s">
        <v>581</v>
      </c>
      <c r="E18" s="5" t="s">
        <v>1059</v>
      </c>
      <c r="F18" s="46" t="s">
        <v>645</v>
      </c>
      <c r="G18" s="7" t="s">
        <v>1071</v>
      </c>
    </row>
    <row r="19" customFormat="false" ht="33.75" hidden="false" customHeight="true" outlineLevel="0" collapsed="false">
      <c r="A19" s="5" t="s">
        <v>1072</v>
      </c>
      <c r="B19" s="7" t="s">
        <v>1073</v>
      </c>
      <c r="C19" s="5" t="s">
        <v>573</v>
      </c>
      <c r="D19" s="5" t="s">
        <v>1074</v>
      </c>
      <c r="E19" s="5" t="s">
        <v>1013</v>
      </c>
      <c r="F19" s="47" t="s">
        <v>1019</v>
      </c>
      <c r="G19" s="7" t="s">
        <v>1075</v>
      </c>
    </row>
    <row r="20" customFormat="false" ht="33.75" hidden="false" customHeight="true" outlineLevel="0" collapsed="false">
      <c r="A20" s="5" t="s">
        <v>1076</v>
      </c>
      <c r="B20" s="7" t="s">
        <v>1077</v>
      </c>
      <c r="C20" s="5" t="s">
        <v>1078</v>
      </c>
      <c r="D20" s="5" t="s">
        <v>1079</v>
      </c>
      <c r="E20" s="5" t="s">
        <v>1080</v>
      </c>
      <c r="F20" s="46" t="s">
        <v>645</v>
      </c>
      <c r="G20" s="7" t="s">
        <v>1081</v>
      </c>
    </row>
    <row r="21" customFormat="false" ht="33.75" hidden="false" customHeight="true" outlineLevel="0" collapsed="false">
      <c r="A21" s="5" t="s">
        <v>1082</v>
      </c>
      <c r="B21" s="7" t="s">
        <v>1083</v>
      </c>
      <c r="C21" s="5" t="s">
        <v>1023</v>
      </c>
      <c r="D21" s="5" t="s">
        <v>1024</v>
      </c>
      <c r="E21" s="5" t="s">
        <v>1084</v>
      </c>
      <c r="F21" s="47" t="s">
        <v>1019</v>
      </c>
      <c r="G21" s="7" t="s">
        <v>1085</v>
      </c>
    </row>
    <row r="22" customFormat="false" ht="33.75" hidden="false" customHeight="true" outlineLevel="0" collapsed="false">
      <c r="A22" s="5" t="s">
        <v>1086</v>
      </c>
      <c r="B22" s="7" t="s">
        <v>1087</v>
      </c>
      <c r="C22" s="5" t="s">
        <v>573</v>
      </c>
      <c r="D22" s="5" t="s">
        <v>1074</v>
      </c>
      <c r="E22" s="5" t="s">
        <v>1088</v>
      </c>
      <c r="F22" s="46" t="s">
        <v>645</v>
      </c>
      <c r="G22" s="7" t="s">
        <v>1089</v>
      </c>
    </row>
    <row r="23" customFormat="false" ht="33.75" hidden="false" customHeight="true" outlineLevel="0" collapsed="false">
      <c r="A23" s="5" t="s">
        <v>1090</v>
      </c>
      <c r="B23" s="7" t="s">
        <v>1091</v>
      </c>
      <c r="C23" s="5" t="s">
        <v>1092</v>
      </c>
      <c r="D23" s="5" t="s">
        <v>1093</v>
      </c>
      <c r="E23" s="5" t="s">
        <v>1094</v>
      </c>
      <c r="F23" s="48" t="s">
        <v>1046</v>
      </c>
      <c r="G23" s="7" t="s">
        <v>1095</v>
      </c>
    </row>
    <row r="24" customFormat="false" ht="33.75" hidden="false" customHeight="true" outlineLevel="0" collapsed="false">
      <c r="A24" s="5" t="s">
        <v>1096</v>
      </c>
      <c r="B24" s="7" t="s">
        <v>345</v>
      </c>
      <c r="C24" s="5" t="s">
        <v>573</v>
      </c>
      <c r="D24" s="5" t="s">
        <v>1074</v>
      </c>
      <c r="E24" s="5" t="s">
        <v>1013</v>
      </c>
      <c r="F24" s="48" t="s">
        <v>1046</v>
      </c>
      <c r="G24" s="7" t="s">
        <v>1097</v>
      </c>
    </row>
    <row r="25" customFormat="false" ht="33.75" hidden="false" customHeight="true" outlineLevel="0" collapsed="false">
      <c r="A25" s="5" t="s">
        <v>1098</v>
      </c>
      <c r="B25" s="7" t="s">
        <v>1099</v>
      </c>
      <c r="C25" s="5" t="s">
        <v>573</v>
      </c>
      <c r="D25" s="5" t="s">
        <v>1074</v>
      </c>
      <c r="E25" s="5" t="s">
        <v>1100</v>
      </c>
      <c r="F25" s="49" t="s">
        <v>1101</v>
      </c>
      <c r="G25" s="7" t="s">
        <v>1102</v>
      </c>
    </row>
    <row r="26" customFormat="false" ht="33.75" hidden="false" customHeight="true" outlineLevel="0" collapsed="false">
      <c r="A26" s="5" t="s">
        <v>1103</v>
      </c>
      <c r="B26" s="7" t="s">
        <v>1104</v>
      </c>
      <c r="C26" s="5" t="s">
        <v>1105</v>
      </c>
      <c r="D26" s="5" t="s">
        <v>1012</v>
      </c>
      <c r="E26" s="5" t="s">
        <v>1106</v>
      </c>
      <c r="F26" s="47" t="s">
        <v>1019</v>
      </c>
      <c r="G26" s="7" t="s">
        <v>1107</v>
      </c>
    </row>
    <row r="27" customFormat="false" ht="33.75" hidden="false" customHeight="true" outlineLevel="0" collapsed="false">
      <c r="A27" s="5" t="s">
        <v>1108</v>
      </c>
      <c r="B27" s="7" t="s">
        <v>414</v>
      </c>
      <c r="C27" s="5" t="s">
        <v>1070</v>
      </c>
      <c r="D27" s="5" t="s">
        <v>581</v>
      </c>
      <c r="E27" s="5" t="s">
        <v>1109</v>
      </c>
      <c r="F27" s="47" t="s">
        <v>1019</v>
      </c>
      <c r="G27" s="7" t="s">
        <v>1110</v>
      </c>
    </row>
    <row r="28" customFormat="false" ht="33.75" hidden="false" customHeight="true" outlineLevel="0" collapsed="false">
      <c r="A28" s="5" t="s">
        <v>1111</v>
      </c>
      <c r="B28" s="7" t="s">
        <v>1112</v>
      </c>
      <c r="C28" s="5" t="s">
        <v>1113</v>
      </c>
      <c r="D28" s="5" t="s">
        <v>1114</v>
      </c>
      <c r="E28" s="5" t="s">
        <v>1115</v>
      </c>
      <c r="F28" s="46" t="s">
        <v>645</v>
      </c>
      <c r="G28" s="7" t="s">
        <v>1116</v>
      </c>
    </row>
    <row r="29" customFormat="false" ht="33.75" hidden="false" customHeight="true" outlineLevel="0" collapsed="false">
      <c r="A29" s="5" t="s">
        <v>1117</v>
      </c>
      <c r="B29" s="7" t="s">
        <v>1118</v>
      </c>
      <c r="C29" s="5" t="s">
        <v>1119</v>
      </c>
      <c r="D29" s="5" t="s">
        <v>1120</v>
      </c>
      <c r="E29" s="5" t="s">
        <v>1088</v>
      </c>
      <c r="F29" s="48" t="s">
        <v>1046</v>
      </c>
      <c r="G29" s="7" t="s">
        <v>1121</v>
      </c>
    </row>
    <row r="30" customFormat="false" ht="33.75" hidden="false" customHeight="true" outlineLevel="0" collapsed="false">
      <c r="A30" s="5" t="s">
        <v>1122</v>
      </c>
      <c r="B30" s="7" t="s">
        <v>1123</v>
      </c>
      <c r="C30" s="5" t="s">
        <v>1053</v>
      </c>
      <c r="D30" s="5" t="s">
        <v>1054</v>
      </c>
      <c r="E30" s="5" t="s">
        <v>1054</v>
      </c>
      <c r="F30" s="50" t="s">
        <v>1124</v>
      </c>
      <c r="G30" s="7" t="s">
        <v>1125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2026-09-10T16:54:56Z</dcterms:created>
  <dc:creator>openpyxl</dc:creator>
  <dc:description/>
  <dc:language>en-US</dc:language>
  <cp:lastModifiedBy/>
  <dcterms:modified xsi:type="dcterms:W3CDTF">2026-09-10T16:54:58Z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